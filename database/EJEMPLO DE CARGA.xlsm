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y\Desktop\PROYECTO BOLETAS\INFORMACION HUAYTARA\INFORMACION DE PLANILLAS\2016_CAS\"/>
    </mc:Choice>
  </mc:AlternateContent>
  <xr:revisionPtr revIDLastSave="0" documentId="8_{072407B0-B928-470C-BCAF-E4EE3E2E10A1}" xr6:coauthVersionLast="47" xr6:coauthVersionMax="47" xr10:uidLastSave="{00000000-0000-0000-0000-000000000000}"/>
  <bookViews>
    <workbookView xWindow="1584" yWindow="2556" windowWidth="22536" windowHeight="10224" activeTab="2" xr2:uid="{00000000-000D-0000-FFFF-FFFF00000000}"/>
  </bookViews>
  <sheets>
    <sheet name="BD-DOCENTES" sheetId="5" r:id="rId1"/>
    <sheet name="BDPLANILLA" sheetId="2" r:id="rId2"/>
    <sheet name="PLANILLA" sheetId="1" r:id="rId3"/>
    <sheet name="BOLETA DE PAGO" sheetId="3" r:id="rId4"/>
    <sheet name="Hoja1" sheetId="4" state="hidden" r:id="rId5"/>
  </sheets>
  <definedNames>
    <definedName name="_xlnm.Print_Area" localSheetId="3">'BOLETA DE PAGO'!$B$4:$I$31</definedName>
    <definedName name="_xlnm.Print_Area" localSheetId="2">PLANILLA!$A$1:$Z$26</definedName>
    <definedName name="BDPLANILLA">PLANILLA!$D$1:$Z$26</definedName>
    <definedName name="DOCENTES">'BD-DOCENTES'!$A$3:$G$120</definedName>
  </definedNames>
  <calcPr calcId="181029"/>
</workbook>
</file>

<file path=xl/calcChain.xml><?xml version="1.0" encoding="utf-8"?>
<calcChain xmlns="http://schemas.openxmlformats.org/spreadsheetml/2006/main">
  <c r="I31" i="3" l="1"/>
  <c r="H25" i="3"/>
  <c r="H20" i="3"/>
  <c r="G18" i="3"/>
  <c r="G16" i="3"/>
  <c r="B12" i="3"/>
  <c r="D12" i="3"/>
  <c r="F12" i="3"/>
  <c r="D10" i="3"/>
  <c r="B6" i="3" l="1"/>
  <c r="H12" i="3"/>
  <c r="C10" i="3"/>
  <c r="B5" i="3"/>
  <c r="B4" i="3"/>
  <c r="G17" i="3" l="1"/>
  <c r="H21" i="3"/>
  <c r="I29" i="3"/>
  <c r="H23" i="3"/>
  <c r="H22" i="3" l="1"/>
  <c r="H24" i="3"/>
  <c r="I26" i="3"/>
</calcChain>
</file>

<file path=xl/sharedStrings.xml><?xml version="1.0" encoding="utf-8"?>
<sst xmlns="http://schemas.openxmlformats.org/spreadsheetml/2006/main" count="355" uniqueCount="155">
  <si>
    <t>ORDEN</t>
  </si>
  <si>
    <t>APELLIDOS Y NOMBRES</t>
  </si>
  <si>
    <t>CARGO U OCUPACIÓN</t>
  </si>
  <si>
    <t>ASIGNACIÓN FAMILIAR</t>
  </si>
  <si>
    <t>TOTAL REMUNERACIÓN BRUTA</t>
  </si>
  <si>
    <t>REMUNERACIÓN NETA</t>
  </si>
  <si>
    <t>SUELDO BÁSICO</t>
  </si>
  <si>
    <t>TOTAL DESCUENTO</t>
  </si>
  <si>
    <t>SALUD</t>
  </si>
  <si>
    <t>TOTAL APORTES</t>
  </si>
  <si>
    <t>APF</t>
  </si>
  <si>
    <t>APORTE OBLIGATORIO</t>
  </si>
  <si>
    <t>COMISIÓN % SOBRE R.A.</t>
  </si>
  <si>
    <t>PRIMA DE SEGURO</t>
  </si>
  <si>
    <t>PERIODO:</t>
  </si>
  <si>
    <t>RUC:</t>
  </si>
  <si>
    <t>RMV</t>
  </si>
  <si>
    <t>A. Familiar</t>
  </si>
  <si>
    <t>SNP/ ONP</t>
  </si>
  <si>
    <t>PRIMA</t>
  </si>
  <si>
    <t>INTEGRA</t>
  </si>
  <si>
    <t>PROFUTURO</t>
  </si>
  <si>
    <t>PRIMA SEGURO</t>
  </si>
  <si>
    <t>ESSALUD</t>
  </si>
  <si>
    <t>DATOS DE LA EMPRESA</t>
  </si>
  <si>
    <t>RAZON SOCIAL:</t>
  </si>
  <si>
    <t>DNI</t>
  </si>
  <si>
    <t>ONP/SNP</t>
  </si>
  <si>
    <t>SNP/AFP</t>
  </si>
  <si>
    <t>SNP</t>
  </si>
  <si>
    <t>Documento de Identidad</t>
  </si>
  <si>
    <t>Nombre y Apellidos</t>
  </si>
  <si>
    <t>Situación</t>
  </si>
  <si>
    <t>Tipo</t>
  </si>
  <si>
    <t>Número</t>
  </si>
  <si>
    <t>ACTIVO O SUBSIDIADO</t>
  </si>
  <si>
    <t>Fecha de Ingreso</t>
  </si>
  <si>
    <t>Regimen Pensionario</t>
  </si>
  <si>
    <t>CUSPP</t>
  </si>
  <si>
    <t/>
  </si>
  <si>
    <t>Código</t>
  </si>
  <si>
    <t>Conceptos</t>
  </si>
  <si>
    <t>Ingresos S/.</t>
  </si>
  <si>
    <t>Descuentos S/.</t>
  </si>
  <si>
    <t>Neto S/.</t>
  </si>
  <si>
    <t>Ingresos</t>
  </si>
  <si>
    <t>REMUNERACIÓN O JORNAL BÁSICO</t>
  </si>
  <si>
    <t>Aportes del Trabajador</t>
  </si>
  <si>
    <t>SISTEMA NAC. DE PENSIONES DL 19990</t>
  </si>
  <si>
    <t>COMISION AFP PORCENTUAL</t>
  </si>
  <si>
    <t>PRIMA DE SEGURO AFP</t>
  </si>
  <si>
    <t>SSP-APORTACION OBLIGATORIA</t>
  </si>
  <si>
    <t>Neto a Pagar</t>
  </si>
  <si>
    <t>Aportes de Empleador</t>
  </si>
  <si>
    <t>ESSALUD(REGULAR CBSSP AGRAR/AC)TRAB</t>
  </si>
  <si>
    <t>FECHA DE INGRESO</t>
  </si>
  <si>
    <t>ASIGNACION FAMILIAR</t>
  </si>
  <si>
    <t>Cargo del Trabajador</t>
  </si>
  <si>
    <t>NUMERO DE ORDEN:</t>
  </si>
  <si>
    <t>UE 1640 UGEL HUAYTARA</t>
  </si>
  <si>
    <t>HABITAD</t>
  </si>
  <si>
    <t>PRIMA-MIXTA</t>
  </si>
  <si>
    <t>HABITAD-MIXTA</t>
  </si>
  <si>
    <t>INTEGRA-MIXTA</t>
  </si>
  <si>
    <t>PROFUTURO-MIXTA</t>
  </si>
  <si>
    <t>NUMERO DE CUENTA</t>
  </si>
  <si>
    <t>ESSALUD VIDA+</t>
  </si>
  <si>
    <t>Numero de Cuenta de Ahorros</t>
  </si>
  <si>
    <t>CTA AHORRO
BCO. NACIÓN</t>
  </si>
  <si>
    <t>01/03/2016</t>
  </si>
  <si>
    <t>QUISPE GUERRERO CRISTIAN</t>
  </si>
  <si>
    <t>CO.AD.RE.ED. JEC</t>
  </si>
  <si>
    <t>MARTINEZ MEZA PAMELA ALEJANDRA</t>
  </si>
  <si>
    <t>CHIRA SALAZAR ROSA HAYDEE</t>
  </si>
  <si>
    <t>CO.IN.SO.TE. JEC</t>
  </si>
  <si>
    <t>579081MRGAI5</t>
  </si>
  <si>
    <t>ROZAS GUTIERREZ MANUEL OLLANTAY</t>
  </si>
  <si>
    <t>506221NQLSN8</t>
  </si>
  <si>
    <t>QUISPE LLANTOY NIXON ABEL</t>
  </si>
  <si>
    <t>PER. MANT. JEC</t>
  </si>
  <si>
    <t> 618510HAHNR7</t>
  </si>
  <si>
    <t xml:space="preserve">ARANGO HUAROTO HERMELINDA </t>
  </si>
  <si>
    <t>SEC. JET</t>
  </si>
  <si>
    <t>326050CCHQM1</t>
  </si>
  <si>
    <t>CHOQUE HUAMANI CLEDDY</t>
  </si>
  <si>
    <t>585801RHLTU2</t>
  </si>
  <si>
    <t>HURTADO LLAUCA RAUL WILFREDO</t>
  </si>
  <si>
    <t>VIGILANCIA JEC</t>
  </si>
  <si>
    <t>572831RTNLE4</t>
  </si>
  <si>
    <t>TRILLO NUÑEZ RICARDO WILLIAM</t>
  </si>
  <si>
    <t>592751JHFRR6</t>
  </si>
  <si>
    <t>HUARCAYA FLORES JOEL ANIBAL</t>
  </si>
  <si>
    <t>570351HAHOM0</t>
  </si>
  <si>
    <t>ARAOZ HUAMANI HUGO</t>
  </si>
  <si>
    <t>RAMOS ECHAVARRIA JOSE MANUEL</t>
  </si>
  <si>
    <t>QUISPE CONISLLA PERCY CARLOS</t>
  </si>
  <si>
    <t>YALLI CONDORI JHONY ROQUE</t>
  </si>
  <si>
    <t>612461PCCPR9</t>
  </si>
  <si>
    <t>CHAPOÑAN CHIRA PABLO CESAR</t>
  </si>
  <si>
    <t>APOYO EDU. JEC</t>
  </si>
  <si>
    <t>562871AAVEC7</t>
  </si>
  <si>
    <t>ASTETE VILCHEZ ALEX EMILIO</t>
  </si>
  <si>
    <t>CHAPOÑAN CHIRA MIRIAN SELENE</t>
  </si>
  <si>
    <t>QUISPE HUAMANI MIRIAM MARLENY</t>
  </si>
  <si>
    <t>CO.AD.RE.ED</t>
  </si>
  <si>
    <t>619920PSECE7</t>
  </si>
  <si>
    <t>SANCHEZ ESTEVES PILAR</t>
  </si>
  <si>
    <t xml:space="preserve">CO.IN.SO.TE.  </t>
  </si>
  <si>
    <t>579240EHHMM0</t>
  </si>
  <si>
    <t>HUAMANI HUAMANI ELVIRA</t>
  </si>
  <si>
    <t>T.SOC. PSICOLOGO</t>
  </si>
  <si>
    <t>303231JPVAL6</t>
  </si>
  <si>
    <t>PALACIOS VILLANUEVA JHON JESUS</t>
  </si>
  <si>
    <t>PRIMA MIXTA</t>
  </si>
  <si>
    <t>PROFUTURO MIXTA</t>
  </si>
  <si>
    <t>INTEGRA MIXTA</t>
  </si>
  <si>
    <t xml:space="preserve">PRIMIA    </t>
  </si>
  <si>
    <t xml:space="preserve">PRIMA    </t>
  </si>
  <si>
    <t>AFP</t>
  </si>
  <si>
    <t>HUAMAN YAURICASSA EDGAR RAUL</t>
  </si>
  <si>
    <t>04421136535</t>
  </si>
  <si>
    <t>04563077617</t>
  </si>
  <si>
    <t>04563068588</t>
  </si>
  <si>
    <t>04401032938</t>
  </si>
  <si>
    <t>04563077587</t>
  </si>
  <si>
    <t>04563059309</t>
  </si>
  <si>
    <t>04416029186</t>
  </si>
  <si>
    <t>04563077595</t>
  </si>
  <si>
    <t>04563020674</t>
  </si>
  <si>
    <t>04563071198</t>
  </si>
  <si>
    <t>04563077684</t>
  </si>
  <si>
    <t>04563059481</t>
  </si>
  <si>
    <t>04563077609</t>
  </si>
  <si>
    <t>04301237176</t>
  </si>
  <si>
    <t>04382315982</t>
  </si>
  <si>
    <t>04301237044</t>
  </si>
  <si>
    <t>04563077668</t>
  </si>
  <si>
    <t>04604571664</t>
  </si>
  <si>
    <t>04408258907</t>
  </si>
  <si>
    <t>04563077579</t>
  </si>
  <si>
    <t>ABRIL</t>
  </si>
  <si>
    <t>23/03/2016</t>
  </si>
  <si>
    <t>BERNAOLA HUAROCC PEDRO MIGUEL</t>
  </si>
  <si>
    <t xml:space="preserve">HUAMAN FLORES RUTH MARIELA </t>
  </si>
  <si>
    <t>FALTA CONTRATO</t>
  </si>
  <si>
    <t>DESCUENTO / INASISTENCIAS</t>
  </si>
  <si>
    <t>REINTEGRO</t>
  </si>
  <si>
    <t>DESCUENTOS / INASISTENCIAS</t>
  </si>
  <si>
    <t>mas7 dias mes anterior</t>
  </si>
  <si>
    <t>YAURICASA HUAROTO YENI</t>
  </si>
  <si>
    <t>13/04/2016</t>
  </si>
  <si>
    <t>ONP</t>
  </si>
  <si>
    <t>MES</t>
  </si>
  <si>
    <t>AÑO</t>
  </si>
  <si>
    <t>AGUINALDO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</si>
</sst>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#"/>
    <numFmt numFmtId="166" formatCode="00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entury Gothic"/>
      <family val="2"/>
    </font>
    <font>
      <b/>
      <sz val="9"/>
      <name val="Century Gothic"/>
      <family val="2"/>
    </font>
    <font>
      <b/>
      <sz val="8"/>
      <name val="Century Gothic"/>
      <family val="2"/>
    </font>
    <font>
      <b/>
      <sz val="11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indexed="8"/>
      <name val="Calibri"/>
      <family val="2"/>
    </font>
    <font>
      <b/>
      <sz val="11"/>
      <name val="Century Gothic"/>
      <family val="2"/>
    </font>
    <font>
      <b/>
      <sz val="11"/>
      <name val="Century Gothic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sz val="14"/>
      <name val="Courier New"/>
      <family val="3"/>
    </font>
    <font>
      <sz val="10"/>
      <color theme="1"/>
      <name val="Courier New"/>
      <family val="3"/>
    </font>
    <font>
      <sz val="10"/>
      <color theme="1"/>
      <name val="Calibri"/>
      <family val="2"/>
      <scheme val="minor"/>
    </font>
    <font>
      <sz val="14"/>
      <color theme="1"/>
      <name val="Courier New"/>
      <family val="3"/>
    </font>
    <font>
      <sz val="14"/>
      <color rgb="FF000000"/>
      <name val="Courier New"/>
      <family val="3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D4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2CC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thin">
        <color indexed="0"/>
      </top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</borders>
  <cellStyleXfs count="6">
    <xf numFmtId="0" fontId="0" fillId="0" borderId="0"/>
    <xf numFmtId="0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" fillId="0" borderId="0"/>
    <xf numFmtId="0" fontId="1" fillId="0" borderId="0"/>
    <xf numFmtId="9" fontId="11" fillId="0" borderId="0" applyFont="0" applyFill="0" applyBorder="0" applyAlignment="0" applyProtection="0"/>
  </cellStyleXfs>
  <cellXfs count="84">
    <xf numFmtId="0" fontId="0" fillId="0" borderId="0" xfId="0"/>
    <xf numFmtId="0" fontId="0" fillId="2" borderId="0" xfId="0" applyFill="1"/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4" fontId="2" fillId="3" borderId="1" xfId="2" applyFont="1" applyFill="1" applyBorder="1" applyAlignment="1">
      <alignment horizontal="center" vertical="center"/>
    </xf>
    <xf numFmtId="10" fontId="2" fillId="3" borderId="1" xfId="5" applyNumberFormat="1" applyFont="1" applyFill="1" applyBorder="1" applyAlignment="1">
      <alignment horizontal="center" vertical="center"/>
    </xf>
    <xf numFmtId="10" fontId="2" fillId="3" borderId="1" xfId="5" applyNumberFormat="1" applyFont="1" applyFill="1" applyBorder="1" applyAlignment="1">
      <alignment horizontal="left" vertical="center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2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5" borderId="0" xfId="0" applyFill="1"/>
    <xf numFmtId="166" fontId="12" fillId="2" borderId="1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wrapText="1"/>
    </xf>
    <xf numFmtId="0" fontId="6" fillId="2" borderId="5" xfId="0" applyFont="1" applyFill="1" applyBorder="1" applyAlignment="1">
      <alignment horizontal="center" wrapText="1"/>
    </xf>
    <xf numFmtId="164" fontId="11" fillId="2" borderId="5" xfId="2" applyFont="1" applyFill="1" applyBorder="1"/>
    <xf numFmtId="0" fontId="0" fillId="2" borderId="5" xfId="0" applyFill="1" applyBorder="1"/>
    <xf numFmtId="0" fontId="0" fillId="2" borderId="6" xfId="0" applyFill="1" applyBorder="1" applyAlignment="1">
      <alignment horizontal="right"/>
    </xf>
    <xf numFmtId="164" fontId="11" fillId="2" borderId="6" xfId="2" applyFont="1" applyFill="1" applyBorder="1" applyAlignment="1" applyProtection="1">
      <alignment horizontal="right"/>
    </xf>
    <xf numFmtId="0" fontId="7" fillId="6" borderId="1" xfId="0" applyFont="1" applyFill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64" fontId="2" fillId="0" borderId="1" xfId="2" applyFont="1" applyFill="1" applyBorder="1" applyAlignment="1">
      <alignment vertical="center"/>
    </xf>
    <xf numFmtId="164" fontId="2" fillId="0" borderId="1" xfId="2" applyFont="1" applyFill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49" fontId="11" fillId="2" borderId="6" xfId="2" applyNumberFormat="1" applyFont="1" applyFill="1" applyBorder="1" applyAlignment="1" applyProtection="1">
      <alignment horizontal="right"/>
    </xf>
    <xf numFmtId="164" fontId="2" fillId="0" borderId="1" xfId="2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15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49" fontId="2" fillId="0" borderId="2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164" fontId="2" fillId="0" borderId="2" xfId="2" applyFont="1" applyFill="1" applyBorder="1" applyAlignment="1">
      <alignment horizontal="left" vertical="center"/>
    </xf>
    <xf numFmtId="0" fontId="16" fillId="0" borderId="2" xfId="0" applyFont="1" applyBorder="1" applyAlignment="1">
      <alignment horizontal="left"/>
    </xf>
    <xf numFmtId="49" fontId="17" fillId="0" borderId="2" xfId="0" applyNumberFormat="1" applyFont="1" applyBorder="1" applyAlignment="1">
      <alignment horizontal="left"/>
    </xf>
    <xf numFmtId="49" fontId="14" fillId="0" borderId="2" xfId="0" applyNumberFormat="1" applyFont="1" applyBorder="1" applyAlignment="1">
      <alignment horizontal="left"/>
    </xf>
    <xf numFmtId="49" fontId="18" fillId="0" borderId="2" xfId="0" applyNumberFormat="1" applyFont="1" applyBorder="1" applyAlignment="1">
      <alignment horizontal="left"/>
    </xf>
    <xf numFmtId="14" fontId="15" fillId="0" borderId="2" xfId="0" applyNumberFormat="1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17" fillId="0" borderId="2" xfId="0" applyFont="1" applyBorder="1" applyAlignment="1">
      <alignment horizontal="left"/>
    </xf>
    <xf numFmtId="0" fontId="18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7" borderId="1" xfId="0" applyFont="1" applyFill="1" applyBorder="1" applyAlignment="1">
      <alignment horizontal="center" wrapText="1"/>
    </xf>
    <xf numFmtId="0" fontId="5" fillId="7" borderId="1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164" fontId="11" fillId="7" borderId="6" xfId="2" applyFont="1" applyFill="1" applyBorder="1" applyAlignment="1" applyProtection="1">
      <alignment horizontal="right"/>
    </xf>
    <xf numFmtId="0" fontId="0" fillId="8" borderId="2" xfId="0" applyFill="1" applyBorder="1" applyAlignment="1">
      <alignment horizontal="left"/>
    </xf>
    <xf numFmtId="165" fontId="2" fillId="2" borderId="0" xfId="0" applyNumberFormat="1" applyFont="1" applyFill="1" applyAlignment="1">
      <alignment horizontal="center" vertical="center"/>
    </xf>
    <xf numFmtId="0" fontId="9" fillId="7" borderId="4" xfId="0" applyFont="1" applyFill="1" applyBorder="1" applyAlignment="1">
      <alignment horizontal="left" vertical="center"/>
    </xf>
    <xf numFmtId="0" fontId="10" fillId="7" borderId="5" xfId="0" applyFont="1" applyFill="1" applyBorder="1" applyAlignment="1">
      <alignment horizontal="left" vertical="center"/>
    </xf>
    <xf numFmtId="0" fontId="10" fillId="7" borderId="6" xfId="0" applyFont="1" applyFill="1" applyBorder="1" applyAlignment="1">
      <alignment horizontal="left" vertical="center"/>
    </xf>
    <xf numFmtId="0" fontId="0" fillId="2" borderId="5" xfId="0" applyFill="1" applyBorder="1"/>
    <xf numFmtId="0" fontId="8" fillId="7" borderId="11" xfId="0" applyFont="1" applyFill="1" applyBorder="1"/>
    <xf numFmtId="0" fontId="8" fillId="7" borderId="12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0" fontId="8" fillId="7" borderId="0" xfId="0" applyFont="1" applyFill="1"/>
    <xf numFmtId="0" fontId="8" fillId="7" borderId="15" xfId="0" applyFont="1" applyFill="1" applyBorder="1"/>
    <xf numFmtId="0" fontId="8" fillId="7" borderId="9" xfId="0" applyFont="1" applyFill="1" applyBorder="1"/>
    <xf numFmtId="0" fontId="8" fillId="7" borderId="10" xfId="0" applyFont="1" applyFill="1" applyBorder="1"/>
    <xf numFmtId="0" fontId="8" fillId="7" borderId="7" xfId="0" applyFont="1" applyFill="1" applyBorder="1"/>
    <xf numFmtId="0" fontId="7" fillId="7" borderId="1" xfId="0" applyFont="1" applyFill="1" applyBorder="1" applyAlignment="1">
      <alignment horizontal="center" wrapText="1"/>
    </xf>
    <xf numFmtId="0" fontId="8" fillId="7" borderId="1" xfId="0" applyFont="1" applyFill="1" applyBorder="1" applyAlignment="1">
      <alignment horizontal="center" wrapText="1"/>
    </xf>
    <xf numFmtId="14" fontId="6" fillId="2" borderId="4" xfId="0" applyNumberFormat="1" applyFont="1" applyFill="1" applyBorder="1" applyAlignment="1">
      <alignment horizontal="center" wrapText="1"/>
    </xf>
    <xf numFmtId="14" fontId="6" fillId="2" borderId="5" xfId="0" applyNumberFormat="1" applyFont="1" applyFill="1" applyBorder="1" applyAlignment="1">
      <alignment horizontal="center" wrapText="1"/>
    </xf>
    <xf numFmtId="0" fontId="6" fillId="2" borderId="5" xfId="0" applyFont="1" applyFill="1" applyBorder="1" applyAlignment="1">
      <alignment horizontal="center" wrapText="1"/>
    </xf>
    <xf numFmtId="166" fontId="6" fillId="2" borderId="5" xfId="0" applyNumberFormat="1" applyFont="1" applyFill="1" applyBorder="1" applyAlignment="1">
      <alignment horizontal="center" wrapText="1"/>
    </xf>
    <xf numFmtId="0" fontId="6" fillId="2" borderId="6" xfId="0" applyFont="1" applyFill="1" applyBorder="1" applyAlignment="1">
      <alignment horizontal="center" wrapText="1"/>
    </xf>
    <xf numFmtId="0" fontId="5" fillId="7" borderId="1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left" vertical="center"/>
    </xf>
    <xf numFmtId="0" fontId="9" fillId="7" borderId="10" xfId="0" applyFont="1" applyFill="1" applyBorder="1" applyAlignment="1">
      <alignment horizontal="left" vertical="center"/>
    </xf>
    <xf numFmtId="0" fontId="10" fillId="7" borderId="4" xfId="0" applyFont="1" applyFill="1" applyBorder="1" applyAlignment="1">
      <alignment horizontal="left" vertical="center"/>
    </xf>
    <xf numFmtId="0" fontId="0" fillId="2" borderId="8" xfId="0" applyFill="1" applyBorder="1" applyAlignment="1">
      <alignment horizont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3" xr:uid="{00000000-0005-0000-0000-000003000000}"/>
    <cellStyle name="Normal 3" xfId="4" xr:uid="{00000000-0005-0000-0000-000004000000}"/>
    <cellStyle name="Porcentaje" xfId="5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'BOLETA DE PAGO'!$C$2" max="30000" page="10" val="25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1</xdr:col>
      <xdr:colOff>1085850</xdr:colOff>
      <xdr:row>21</xdr:row>
      <xdr:rowOff>95250</xdr:rowOff>
    </xdr:to>
    <xdr:sp macro="" textlink="">
      <xdr:nvSpPr>
        <xdr:cNvPr id="3093" name="uid_4" descr="Resultado de imagen para LOGO DEL GOBIERNO REGIONAL DE HUANCAVELICA">
          <a:extLst>
            <a:ext uri="{FF2B5EF4-FFF2-40B4-BE49-F238E27FC236}">
              <a16:creationId xmlns:a16="http://schemas.microsoft.com/office/drawing/2014/main" id="{00000000-0008-0000-01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1295400" y="3238500"/>
          <a:ext cx="1085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323850</xdr:colOff>
      <xdr:row>16</xdr:row>
      <xdr:rowOff>95250</xdr:rowOff>
    </xdr:to>
    <xdr:sp macro="" textlink="">
      <xdr:nvSpPr>
        <xdr:cNvPr id="3094" name="uid_4" descr="Resultado de imagen para LOGO DEL GOBIERNO REGIONAL DE HUANCAVELICA">
          <a:extLst>
            <a:ext uri="{FF2B5EF4-FFF2-40B4-BE49-F238E27FC236}">
              <a16:creationId xmlns:a16="http://schemas.microsoft.com/office/drawing/2014/main" id="{00000000-0008-0000-01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4324350" y="2286000"/>
          <a:ext cx="1085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0</xdr:rowOff>
        </xdr:from>
        <xdr:to>
          <xdr:col>3</xdr:col>
          <xdr:colOff>259080</xdr:colOff>
          <xdr:row>1</xdr:row>
          <xdr:rowOff>304800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27</xdr:row>
          <xdr:rowOff>76200</xdr:rowOff>
        </xdr:from>
        <xdr:to>
          <xdr:col>11</xdr:col>
          <xdr:colOff>83820</xdr:colOff>
          <xdr:row>29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IMPRESION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739169</xdr:colOff>
      <xdr:row>3</xdr:row>
      <xdr:rowOff>42863</xdr:rowOff>
    </xdr:from>
    <xdr:to>
      <xdr:col>8</xdr:col>
      <xdr:colOff>826293</xdr:colOff>
      <xdr:row>5</xdr:row>
      <xdr:rowOff>178594</xdr:rowOff>
    </xdr:to>
    <xdr:pic>
      <xdr:nvPicPr>
        <xdr:cNvPr id="1034" name="3 Imagen" descr="Resultado de imagen para logo del gobierno regional de huancavelica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2732" y="745332"/>
          <a:ext cx="872936" cy="5405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3"/>
  <sheetViews>
    <sheetView topLeftCell="A12" workbookViewId="0">
      <selection activeCell="E28" sqref="E28"/>
    </sheetView>
  </sheetViews>
  <sheetFormatPr baseColWidth="10" defaultColWidth="11.44140625" defaultRowHeight="14.4" x14ac:dyDescent="0.3"/>
  <cols>
    <col min="1" max="1" width="13.88671875" style="34" bestFit="1" customWidth="1"/>
    <col min="2" max="2" width="22.5546875" style="34" customWidth="1"/>
    <col min="3" max="3" width="15.33203125" style="34" customWidth="1"/>
    <col min="4" max="4" width="36.6640625" style="34" customWidth="1"/>
    <col min="5" max="5" width="16.109375" style="34" customWidth="1"/>
    <col min="6" max="6" width="19.44140625" style="34" customWidth="1"/>
    <col min="7" max="7" width="13.44140625" style="34" customWidth="1"/>
    <col min="8" max="16384" width="11.44140625" style="34"/>
  </cols>
  <sheetData>
    <row r="1" spans="1:8" x14ac:dyDescent="0.3">
      <c r="A1" s="51">
        <v>1</v>
      </c>
      <c r="B1" s="51">
        <v>2</v>
      </c>
      <c r="C1" s="51">
        <v>3</v>
      </c>
      <c r="D1" s="51">
        <v>4</v>
      </c>
      <c r="E1" s="51">
        <v>5</v>
      </c>
      <c r="F1" s="51">
        <v>6</v>
      </c>
      <c r="G1" s="51">
        <v>7</v>
      </c>
    </row>
    <row r="2" spans="1:8" x14ac:dyDescent="0.3">
      <c r="A2" s="46" t="s">
        <v>26</v>
      </c>
      <c r="B2" s="46" t="s">
        <v>68</v>
      </c>
      <c r="C2" s="46" t="s">
        <v>38</v>
      </c>
      <c r="D2" s="46" t="s">
        <v>1</v>
      </c>
      <c r="E2" s="47" t="s">
        <v>55</v>
      </c>
      <c r="F2" s="46" t="s">
        <v>2</v>
      </c>
      <c r="G2" s="46" t="s">
        <v>6</v>
      </c>
    </row>
    <row r="3" spans="1:8" ht="18" x14ac:dyDescent="0.35">
      <c r="A3" s="48">
        <v>44292928</v>
      </c>
      <c r="B3" s="42" t="s">
        <v>120</v>
      </c>
      <c r="C3" s="35"/>
      <c r="D3" s="57" t="s">
        <v>70</v>
      </c>
      <c r="E3" s="37" t="s">
        <v>69</v>
      </c>
      <c r="F3" s="38" t="s">
        <v>71</v>
      </c>
      <c r="G3" s="39">
        <v>2000</v>
      </c>
    </row>
    <row r="4" spans="1:8" ht="18" x14ac:dyDescent="0.35">
      <c r="A4" s="48">
        <v>47736641</v>
      </c>
      <c r="B4" s="42" t="s">
        <v>121</v>
      </c>
      <c r="C4" s="35"/>
      <c r="D4" s="57" t="s">
        <v>72</v>
      </c>
      <c r="E4" s="37" t="s">
        <v>69</v>
      </c>
      <c r="F4" s="38" t="s">
        <v>71</v>
      </c>
      <c r="G4" s="39">
        <v>2000</v>
      </c>
    </row>
    <row r="5" spans="1:8" ht="18" x14ac:dyDescent="0.35">
      <c r="A5" s="48">
        <v>42005478</v>
      </c>
      <c r="B5" s="42" t="s">
        <v>122</v>
      </c>
      <c r="C5" s="35"/>
      <c r="D5" s="57" t="s">
        <v>73</v>
      </c>
      <c r="E5" s="37" t="s">
        <v>69</v>
      </c>
      <c r="F5" s="38" t="s">
        <v>74</v>
      </c>
      <c r="G5" s="39">
        <v>1500</v>
      </c>
    </row>
    <row r="6" spans="1:8" ht="18" x14ac:dyDescent="0.35">
      <c r="A6" s="48">
        <v>21577674</v>
      </c>
      <c r="B6" s="42" t="s">
        <v>123</v>
      </c>
      <c r="C6" s="40" t="s">
        <v>75</v>
      </c>
      <c r="D6" s="57" t="s">
        <v>76</v>
      </c>
      <c r="E6" s="37" t="s">
        <v>69</v>
      </c>
      <c r="F6" s="38" t="s">
        <v>74</v>
      </c>
      <c r="G6" s="39">
        <v>1500</v>
      </c>
      <c r="H6" s="34" t="s">
        <v>21</v>
      </c>
    </row>
    <row r="7" spans="1:8" ht="18" x14ac:dyDescent="0.35">
      <c r="A7" s="48">
        <v>22304157</v>
      </c>
      <c r="B7" s="42" t="s">
        <v>124</v>
      </c>
      <c r="C7" s="40" t="s">
        <v>77</v>
      </c>
      <c r="D7" s="57" t="s">
        <v>78</v>
      </c>
      <c r="E7" s="37" t="s">
        <v>69</v>
      </c>
      <c r="F7" s="38" t="s">
        <v>79</v>
      </c>
      <c r="G7" s="39">
        <v>1150</v>
      </c>
      <c r="H7" s="34" t="s">
        <v>20</v>
      </c>
    </row>
    <row r="8" spans="1:8" ht="18" x14ac:dyDescent="0.35">
      <c r="A8" s="48">
        <v>44174948</v>
      </c>
      <c r="B8" s="42" t="s">
        <v>125</v>
      </c>
      <c r="C8" s="40" t="s">
        <v>80</v>
      </c>
      <c r="D8" s="57" t="s">
        <v>81</v>
      </c>
      <c r="E8" s="37"/>
      <c r="F8" s="38" t="s">
        <v>82</v>
      </c>
      <c r="G8" s="39">
        <v>1400</v>
      </c>
      <c r="H8" s="34" t="s">
        <v>113</v>
      </c>
    </row>
    <row r="9" spans="1:8" ht="18" x14ac:dyDescent="0.35">
      <c r="A9" s="48">
        <v>70095213</v>
      </c>
      <c r="B9" s="42" t="s">
        <v>126</v>
      </c>
      <c r="C9" s="40" t="s">
        <v>83</v>
      </c>
      <c r="D9" s="57" t="s">
        <v>84</v>
      </c>
      <c r="E9" s="37"/>
      <c r="F9" s="38" t="s">
        <v>82</v>
      </c>
      <c r="G9" s="39">
        <v>1400</v>
      </c>
      <c r="H9" s="34" t="s">
        <v>114</v>
      </c>
    </row>
    <row r="10" spans="1:8" ht="18" x14ac:dyDescent="0.35">
      <c r="A10" s="48">
        <v>40656524</v>
      </c>
      <c r="B10" s="42" t="s">
        <v>127</v>
      </c>
      <c r="C10" s="40" t="s">
        <v>85</v>
      </c>
      <c r="D10" s="57" t="s">
        <v>86</v>
      </c>
      <c r="E10" s="37" t="s">
        <v>69</v>
      </c>
      <c r="F10" s="38" t="s">
        <v>87</v>
      </c>
      <c r="G10" s="39">
        <v>1150</v>
      </c>
      <c r="H10" s="34" t="s">
        <v>115</v>
      </c>
    </row>
    <row r="11" spans="1:8" ht="18" x14ac:dyDescent="0.35">
      <c r="A11" s="48">
        <v>22311035</v>
      </c>
      <c r="B11" s="42" t="s">
        <v>128</v>
      </c>
      <c r="C11" s="40" t="s">
        <v>88</v>
      </c>
      <c r="D11" s="57" t="s">
        <v>89</v>
      </c>
      <c r="E11" s="37" t="s">
        <v>69</v>
      </c>
      <c r="F11" s="38" t="s">
        <v>87</v>
      </c>
      <c r="G11" s="39">
        <v>1150</v>
      </c>
      <c r="H11" s="34" t="s">
        <v>116</v>
      </c>
    </row>
    <row r="12" spans="1:8" ht="18" x14ac:dyDescent="0.35">
      <c r="A12" s="48">
        <v>20026288</v>
      </c>
      <c r="B12" s="42"/>
      <c r="C12" s="35"/>
      <c r="D12" s="57" t="s">
        <v>119</v>
      </c>
      <c r="E12" s="37" t="s">
        <v>69</v>
      </c>
      <c r="F12" s="38" t="s">
        <v>87</v>
      </c>
      <c r="G12" s="39">
        <v>1150</v>
      </c>
    </row>
    <row r="13" spans="1:8" ht="18" x14ac:dyDescent="0.35">
      <c r="A13" s="48">
        <v>40496369</v>
      </c>
      <c r="B13" s="42" t="s">
        <v>129</v>
      </c>
      <c r="C13" s="40" t="s">
        <v>90</v>
      </c>
      <c r="D13" s="57" t="s">
        <v>91</v>
      </c>
      <c r="E13" s="37" t="s">
        <v>69</v>
      </c>
      <c r="F13" s="38" t="s">
        <v>87</v>
      </c>
      <c r="G13" s="39">
        <v>1150</v>
      </c>
      <c r="H13" s="34" t="s">
        <v>114</v>
      </c>
    </row>
    <row r="14" spans="1:8" ht="18" x14ac:dyDescent="0.35">
      <c r="A14" s="48">
        <v>23536904</v>
      </c>
      <c r="B14" s="42" t="s">
        <v>130</v>
      </c>
      <c r="C14" s="40" t="s">
        <v>92</v>
      </c>
      <c r="D14" s="57" t="s">
        <v>93</v>
      </c>
      <c r="E14" s="37" t="s">
        <v>69</v>
      </c>
      <c r="F14" s="38" t="s">
        <v>87</v>
      </c>
      <c r="G14" s="39">
        <v>1150</v>
      </c>
      <c r="H14" s="34" t="s">
        <v>114</v>
      </c>
    </row>
    <row r="15" spans="1:8" ht="18" x14ac:dyDescent="0.35">
      <c r="A15" s="48">
        <v>70139750</v>
      </c>
      <c r="B15" s="42" t="s">
        <v>131</v>
      </c>
      <c r="C15" s="35"/>
      <c r="D15" s="57" t="s">
        <v>94</v>
      </c>
      <c r="E15" s="37" t="s">
        <v>69</v>
      </c>
      <c r="F15" s="38" t="s">
        <v>87</v>
      </c>
      <c r="G15" s="39">
        <v>1150</v>
      </c>
    </row>
    <row r="16" spans="1:8" ht="18" x14ac:dyDescent="0.35">
      <c r="A16" s="48">
        <v>46884173</v>
      </c>
      <c r="B16" s="42"/>
      <c r="C16" s="35"/>
      <c r="D16" s="57" t="s">
        <v>95</v>
      </c>
      <c r="E16" s="37" t="s">
        <v>69</v>
      </c>
      <c r="F16" s="38" t="s">
        <v>87</v>
      </c>
      <c r="G16" s="39">
        <v>1150</v>
      </c>
    </row>
    <row r="17" spans="1:9" ht="18" x14ac:dyDescent="0.35">
      <c r="A17" s="48">
        <v>70191851</v>
      </c>
      <c r="B17" s="42" t="s">
        <v>132</v>
      </c>
      <c r="C17" s="35"/>
      <c r="D17" s="57" t="s">
        <v>96</v>
      </c>
      <c r="E17" s="37"/>
      <c r="F17" s="38" t="s">
        <v>87</v>
      </c>
      <c r="G17" s="39">
        <v>1150</v>
      </c>
    </row>
    <row r="18" spans="1:9" ht="18" x14ac:dyDescent="0.35">
      <c r="A18" s="48">
        <v>43053352</v>
      </c>
      <c r="B18" s="42" t="s">
        <v>133</v>
      </c>
      <c r="C18" s="40" t="s">
        <v>97</v>
      </c>
      <c r="D18" s="57" t="s">
        <v>98</v>
      </c>
      <c r="E18" s="37" t="s">
        <v>69</v>
      </c>
      <c r="F18" s="38" t="s">
        <v>87</v>
      </c>
      <c r="G18" s="39">
        <v>1150</v>
      </c>
      <c r="H18" s="34" t="s">
        <v>114</v>
      </c>
    </row>
    <row r="19" spans="1:9" ht="18" x14ac:dyDescent="0.35">
      <c r="A19" s="48">
        <v>19935851</v>
      </c>
      <c r="B19" s="42" t="s">
        <v>134</v>
      </c>
      <c r="C19" s="40" t="s">
        <v>100</v>
      </c>
      <c r="D19" s="57" t="s">
        <v>101</v>
      </c>
      <c r="E19" s="37" t="s">
        <v>69</v>
      </c>
      <c r="F19" s="38" t="s">
        <v>99</v>
      </c>
      <c r="G19" s="39">
        <v>1150</v>
      </c>
      <c r="H19" s="34" t="s">
        <v>117</v>
      </c>
    </row>
    <row r="20" spans="1:9" ht="18" x14ac:dyDescent="0.35">
      <c r="A20" s="50">
        <v>44830320</v>
      </c>
      <c r="B20" s="43" t="s">
        <v>135</v>
      </c>
      <c r="C20" s="44"/>
      <c r="D20" s="57" t="s">
        <v>102</v>
      </c>
      <c r="E20" s="37" t="s">
        <v>69</v>
      </c>
      <c r="F20" s="38" t="s">
        <v>99</v>
      </c>
      <c r="G20" s="39">
        <v>1150</v>
      </c>
    </row>
    <row r="21" spans="1:9" ht="18" x14ac:dyDescent="0.35">
      <c r="A21" s="49">
        <v>70191844</v>
      </c>
      <c r="B21" s="41" t="s">
        <v>136</v>
      </c>
      <c r="C21" s="35"/>
      <c r="D21" s="57" t="s">
        <v>103</v>
      </c>
      <c r="E21" s="37" t="s">
        <v>69</v>
      </c>
      <c r="F21" s="38" t="s">
        <v>104</v>
      </c>
      <c r="G21" s="39">
        <v>2000</v>
      </c>
    </row>
    <row r="22" spans="1:9" ht="18" x14ac:dyDescent="0.35">
      <c r="A22" s="49">
        <v>44575024</v>
      </c>
      <c r="B22" s="41" t="s">
        <v>137</v>
      </c>
      <c r="C22" s="40" t="s">
        <v>105</v>
      </c>
      <c r="D22" s="57" t="s">
        <v>106</v>
      </c>
      <c r="E22" s="37" t="s">
        <v>69</v>
      </c>
      <c r="F22" s="38" t="s">
        <v>107</v>
      </c>
      <c r="G22" s="39">
        <v>1500</v>
      </c>
      <c r="H22" s="34" t="s">
        <v>115</v>
      </c>
    </row>
    <row r="23" spans="1:9" ht="18" x14ac:dyDescent="0.35">
      <c r="A23" s="49">
        <v>21555719</v>
      </c>
      <c r="B23" s="41" t="s">
        <v>138</v>
      </c>
      <c r="C23" s="40" t="s">
        <v>108</v>
      </c>
      <c r="D23" s="57" t="s">
        <v>109</v>
      </c>
      <c r="E23" s="37" t="s">
        <v>69</v>
      </c>
      <c r="F23" s="38" t="s">
        <v>110</v>
      </c>
      <c r="G23" s="39">
        <v>2000</v>
      </c>
      <c r="H23" s="34" t="s">
        <v>20</v>
      </c>
    </row>
    <row r="24" spans="1:9" ht="18" x14ac:dyDescent="0.35">
      <c r="A24" s="50">
        <v>43987894</v>
      </c>
      <c r="B24" s="43" t="s">
        <v>139</v>
      </c>
      <c r="C24" s="40" t="s">
        <v>111</v>
      </c>
      <c r="D24" s="57" t="s">
        <v>112</v>
      </c>
      <c r="E24" s="37" t="s">
        <v>69</v>
      </c>
      <c r="F24" s="38" t="s">
        <v>110</v>
      </c>
      <c r="G24" s="39">
        <v>2000</v>
      </c>
      <c r="H24" s="34" t="s">
        <v>20</v>
      </c>
    </row>
    <row r="25" spans="1:9" ht="18" x14ac:dyDescent="0.35">
      <c r="A25" s="49">
        <v>46809384</v>
      </c>
      <c r="B25" s="41"/>
      <c r="C25" s="40"/>
      <c r="D25" s="36" t="s">
        <v>142</v>
      </c>
      <c r="E25" s="37" t="s">
        <v>141</v>
      </c>
      <c r="F25" s="38" t="s">
        <v>110</v>
      </c>
      <c r="G25" s="39">
        <v>2000</v>
      </c>
      <c r="H25" s="34" t="s">
        <v>151</v>
      </c>
      <c r="I25" s="34" t="s">
        <v>148</v>
      </c>
    </row>
    <row r="26" spans="1:9" ht="18" x14ac:dyDescent="0.35">
      <c r="A26" s="49">
        <v>21879712</v>
      </c>
      <c r="B26" s="41"/>
      <c r="C26" s="35"/>
      <c r="D26" s="36" t="s">
        <v>143</v>
      </c>
      <c r="E26" s="37" t="s">
        <v>150</v>
      </c>
      <c r="F26" s="38" t="s">
        <v>99</v>
      </c>
      <c r="G26" s="39">
        <v>1200</v>
      </c>
      <c r="H26" s="34" t="s">
        <v>151</v>
      </c>
      <c r="I26" s="34" t="s">
        <v>144</v>
      </c>
    </row>
    <row r="27" spans="1:9" ht="18" x14ac:dyDescent="0.35">
      <c r="A27" s="49">
        <v>44450778</v>
      </c>
      <c r="B27" s="41"/>
      <c r="C27" s="35"/>
      <c r="D27" s="36" t="s">
        <v>149</v>
      </c>
      <c r="E27" s="37" t="s">
        <v>69</v>
      </c>
      <c r="F27" s="38" t="s">
        <v>99</v>
      </c>
      <c r="G27" s="39">
        <v>268</v>
      </c>
      <c r="H27" s="34" t="s">
        <v>151</v>
      </c>
    </row>
    <row r="28" spans="1:9" ht="18" x14ac:dyDescent="0.35">
      <c r="A28" s="48"/>
      <c r="B28" s="42"/>
      <c r="C28" s="40"/>
      <c r="D28" s="36"/>
      <c r="E28" s="37"/>
      <c r="F28" s="38"/>
      <c r="G28" s="39"/>
    </row>
    <row r="29" spans="1:9" ht="18" x14ac:dyDescent="0.35">
      <c r="A29" s="48"/>
      <c r="B29" s="42"/>
      <c r="C29" s="40"/>
      <c r="D29" s="36"/>
      <c r="E29" s="37"/>
      <c r="F29" s="38"/>
      <c r="G29" s="39"/>
    </row>
    <row r="30" spans="1:9" ht="18" x14ac:dyDescent="0.35">
      <c r="A30" s="48"/>
      <c r="B30" s="42"/>
      <c r="C30" s="35"/>
      <c r="D30" s="36"/>
      <c r="E30" s="37"/>
      <c r="F30" s="38"/>
      <c r="G30" s="39"/>
    </row>
    <row r="31" spans="1:9" ht="18" x14ac:dyDescent="0.35">
      <c r="A31" s="48"/>
      <c r="B31" s="42"/>
      <c r="C31" s="35"/>
      <c r="D31" s="36"/>
      <c r="E31" s="37"/>
      <c r="F31" s="38"/>
      <c r="G31" s="39"/>
    </row>
    <row r="32" spans="1:9" ht="18" x14ac:dyDescent="0.35">
      <c r="A32" s="48"/>
      <c r="B32" s="42"/>
      <c r="C32" s="35"/>
      <c r="D32" s="36"/>
      <c r="E32" s="37"/>
      <c r="F32" s="38"/>
      <c r="G32" s="39"/>
    </row>
    <row r="33" spans="1:7" ht="18" x14ac:dyDescent="0.35">
      <c r="A33" s="48"/>
      <c r="B33" s="42"/>
      <c r="C33" s="40"/>
      <c r="D33" s="36"/>
      <c r="E33" s="37"/>
      <c r="F33" s="38"/>
      <c r="G33" s="39"/>
    </row>
    <row r="34" spans="1:7" ht="18" x14ac:dyDescent="0.35">
      <c r="A34" s="48"/>
      <c r="B34" s="42"/>
      <c r="C34" s="40"/>
      <c r="D34" s="36"/>
      <c r="E34" s="37"/>
      <c r="F34" s="38"/>
      <c r="G34" s="39"/>
    </row>
    <row r="35" spans="1:7" ht="18" x14ac:dyDescent="0.35">
      <c r="A35" s="48"/>
      <c r="B35" s="42"/>
      <c r="C35" s="40"/>
      <c r="D35" s="36"/>
      <c r="E35" s="37"/>
      <c r="F35" s="38"/>
      <c r="G35" s="39"/>
    </row>
    <row r="36" spans="1:7" ht="18" x14ac:dyDescent="0.35">
      <c r="A36" s="48"/>
      <c r="B36" s="42"/>
      <c r="C36" s="40"/>
      <c r="D36" s="36"/>
      <c r="E36" s="37"/>
      <c r="F36" s="38"/>
      <c r="G36" s="39"/>
    </row>
    <row r="37" spans="1:7" ht="18" x14ac:dyDescent="0.35">
      <c r="A37" s="48"/>
      <c r="B37" s="42"/>
      <c r="C37" s="40"/>
      <c r="D37" s="36"/>
      <c r="E37" s="37"/>
      <c r="F37" s="38"/>
      <c r="G37" s="39"/>
    </row>
    <row r="38" spans="1:7" ht="18" x14ac:dyDescent="0.35">
      <c r="A38" s="48"/>
      <c r="B38" s="42"/>
      <c r="C38" s="40"/>
      <c r="D38" s="36"/>
      <c r="E38" s="37"/>
      <c r="F38" s="38"/>
      <c r="G38" s="39"/>
    </row>
    <row r="39" spans="1:7" ht="18" x14ac:dyDescent="0.35">
      <c r="A39" s="48"/>
      <c r="B39" s="42"/>
      <c r="C39" s="35"/>
      <c r="D39" s="36"/>
      <c r="E39" s="37"/>
      <c r="F39" s="38"/>
      <c r="G39" s="39"/>
    </row>
    <row r="40" spans="1:7" ht="18" x14ac:dyDescent="0.35">
      <c r="A40" s="48"/>
      <c r="B40" s="42"/>
      <c r="C40" s="40"/>
      <c r="D40" s="36"/>
      <c r="E40" s="37"/>
      <c r="F40" s="38"/>
      <c r="G40" s="39"/>
    </row>
    <row r="41" spans="1:7" ht="18" x14ac:dyDescent="0.35">
      <c r="A41" s="48"/>
      <c r="B41" s="42"/>
      <c r="C41" s="40"/>
      <c r="D41" s="36"/>
      <c r="E41" s="37"/>
      <c r="F41" s="38"/>
      <c r="G41" s="39"/>
    </row>
    <row r="42" spans="1:7" ht="18" x14ac:dyDescent="0.35">
      <c r="A42" s="48"/>
      <c r="B42" s="42"/>
      <c r="C42" s="35"/>
      <c r="D42" s="36"/>
      <c r="E42" s="37"/>
      <c r="F42" s="38"/>
      <c r="G42" s="39"/>
    </row>
    <row r="43" spans="1:7" ht="18" x14ac:dyDescent="0.35">
      <c r="A43" s="48"/>
      <c r="B43" s="42"/>
      <c r="C43" s="35"/>
      <c r="D43" s="36"/>
      <c r="E43" s="37"/>
      <c r="F43" s="38"/>
      <c r="G43" s="39"/>
    </row>
    <row r="44" spans="1:7" ht="18" x14ac:dyDescent="0.35">
      <c r="A44" s="48"/>
      <c r="B44" s="42"/>
      <c r="C44" s="35"/>
      <c r="D44" s="36"/>
      <c r="E44" s="37"/>
      <c r="F44" s="38"/>
      <c r="G44" s="39"/>
    </row>
    <row r="45" spans="1:7" ht="18" x14ac:dyDescent="0.35">
      <c r="A45" s="48"/>
      <c r="B45" s="42"/>
      <c r="C45" s="40"/>
      <c r="D45" s="36"/>
      <c r="E45" s="37"/>
      <c r="F45" s="38"/>
      <c r="G45" s="39"/>
    </row>
    <row r="46" spans="1:7" ht="18" x14ac:dyDescent="0.35">
      <c r="A46" s="48"/>
      <c r="B46" s="42"/>
      <c r="C46" s="40"/>
      <c r="D46" s="36"/>
      <c r="E46" s="37"/>
      <c r="F46" s="38"/>
      <c r="G46" s="39"/>
    </row>
    <row r="47" spans="1:7" ht="18" x14ac:dyDescent="0.35">
      <c r="A47" s="50"/>
      <c r="B47" s="43"/>
      <c r="C47" s="44"/>
      <c r="D47" s="36"/>
      <c r="E47" s="37"/>
      <c r="F47" s="38"/>
      <c r="G47" s="39"/>
    </row>
    <row r="48" spans="1:7" ht="18" x14ac:dyDescent="0.35">
      <c r="A48" s="48"/>
      <c r="B48" s="42"/>
      <c r="C48" s="40"/>
      <c r="D48" s="36"/>
      <c r="E48" s="37"/>
      <c r="F48" s="38"/>
      <c r="G48" s="39"/>
    </row>
    <row r="49" spans="1:7" ht="18" x14ac:dyDescent="0.35">
      <c r="A49" s="48"/>
      <c r="B49" s="42"/>
      <c r="C49" s="40"/>
      <c r="D49" s="36"/>
      <c r="E49" s="37"/>
      <c r="F49" s="38"/>
      <c r="G49" s="39"/>
    </row>
    <row r="50" spans="1:7" ht="18" x14ac:dyDescent="0.35">
      <c r="A50" s="48"/>
      <c r="B50" s="42"/>
      <c r="C50" s="35"/>
      <c r="D50" s="36"/>
      <c r="E50" s="37"/>
      <c r="F50" s="38"/>
      <c r="G50" s="39"/>
    </row>
    <row r="51" spans="1:7" ht="18" x14ac:dyDescent="0.35">
      <c r="A51" s="48"/>
      <c r="B51" s="42"/>
      <c r="C51" s="40"/>
      <c r="D51" s="36"/>
      <c r="E51" s="37"/>
      <c r="F51" s="38"/>
      <c r="G51" s="39"/>
    </row>
    <row r="52" spans="1:7" ht="18" x14ac:dyDescent="0.35">
      <c r="A52" s="48"/>
      <c r="B52" s="42"/>
      <c r="C52" s="35"/>
      <c r="D52" s="36"/>
      <c r="E52" s="37"/>
      <c r="F52" s="38"/>
      <c r="G52" s="39"/>
    </row>
    <row r="53" spans="1:7" ht="18" x14ac:dyDescent="0.35">
      <c r="A53" s="48"/>
      <c r="B53" s="42"/>
      <c r="C53" s="40"/>
      <c r="D53" s="36"/>
      <c r="E53" s="37"/>
      <c r="F53" s="38"/>
      <c r="G53" s="39"/>
    </row>
    <row r="54" spans="1:7" ht="18" x14ac:dyDescent="0.35">
      <c r="A54" s="48"/>
      <c r="B54" s="42"/>
      <c r="C54" s="40"/>
      <c r="D54" s="36"/>
      <c r="E54" s="37"/>
      <c r="F54" s="38"/>
      <c r="G54" s="39"/>
    </row>
    <row r="55" spans="1:7" ht="18" x14ac:dyDescent="0.35">
      <c r="A55" s="48"/>
      <c r="B55" s="42"/>
      <c r="C55" s="35"/>
      <c r="D55" s="36"/>
      <c r="E55" s="37"/>
      <c r="F55" s="38"/>
      <c r="G55" s="39"/>
    </row>
    <row r="56" spans="1:7" ht="18" x14ac:dyDescent="0.35">
      <c r="A56" s="48"/>
      <c r="B56" s="42"/>
      <c r="C56" s="35"/>
      <c r="D56" s="36"/>
      <c r="E56" s="37"/>
      <c r="F56" s="38"/>
      <c r="G56" s="39"/>
    </row>
    <row r="57" spans="1:7" ht="18" x14ac:dyDescent="0.35">
      <c r="A57" s="49"/>
      <c r="B57" s="41"/>
      <c r="C57" s="35"/>
      <c r="D57" s="36"/>
      <c r="E57" s="37"/>
      <c r="F57" s="38"/>
      <c r="G57" s="39"/>
    </row>
    <row r="58" spans="1:7" ht="18" x14ac:dyDescent="0.35">
      <c r="A58" s="49"/>
      <c r="B58" s="41"/>
      <c r="C58" s="45"/>
      <c r="D58" s="36"/>
      <c r="E58" s="37"/>
      <c r="F58" s="38"/>
      <c r="G58" s="39"/>
    </row>
    <row r="59" spans="1:7" ht="18" x14ac:dyDescent="0.35">
      <c r="A59" s="49"/>
      <c r="B59" s="41"/>
      <c r="C59" s="35"/>
      <c r="D59" s="36"/>
      <c r="E59" s="37"/>
      <c r="F59" s="38"/>
      <c r="G59" s="39"/>
    </row>
    <row r="60" spans="1:7" ht="18" x14ac:dyDescent="0.35">
      <c r="A60" s="49"/>
      <c r="B60" s="41"/>
      <c r="C60" s="35"/>
      <c r="D60" s="36"/>
      <c r="E60" s="37"/>
      <c r="F60" s="38"/>
      <c r="G60" s="39"/>
    </row>
    <row r="61" spans="1:7" ht="18" x14ac:dyDescent="0.35">
      <c r="A61" s="49"/>
      <c r="B61" s="41"/>
      <c r="C61" s="40"/>
      <c r="D61" s="36"/>
      <c r="E61" s="37"/>
      <c r="F61" s="38"/>
      <c r="G61" s="39"/>
    </row>
    <row r="62" spans="1:7" ht="18" x14ac:dyDescent="0.35">
      <c r="A62" s="49"/>
      <c r="B62" s="41"/>
      <c r="C62" s="40"/>
      <c r="D62" s="36"/>
      <c r="E62" s="37"/>
      <c r="F62" s="38"/>
      <c r="G62" s="39"/>
    </row>
    <row r="63" spans="1:7" ht="18" x14ac:dyDescent="0.35">
      <c r="A63" s="50"/>
      <c r="B63" s="43"/>
      <c r="C63" s="40"/>
      <c r="D63" s="36"/>
      <c r="E63" s="37"/>
      <c r="F63" s="38"/>
      <c r="G63" s="39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O18"/>
  <sheetViews>
    <sheetView workbookViewId="0">
      <selection activeCell="D18" sqref="D18"/>
    </sheetView>
  </sheetViews>
  <sheetFormatPr baseColWidth="10" defaultColWidth="11.44140625" defaultRowHeight="14.4" x14ac:dyDescent="0.3"/>
  <cols>
    <col min="1" max="1" width="19.44140625" style="1" bestFit="1" customWidth="1"/>
    <col min="2" max="2" width="21.6640625" style="1" bestFit="1" customWidth="1"/>
    <col min="3" max="3" width="5" style="1" bestFit="1" customWidth="1"/>
    <col min="4" max="5" width="11.44140625" style="1"/>
    <col min="6" max="6" width="21.33203125" style="1" bestFit="1" customWidth="1"/>
    <col min="7" max="7" width="9.109375" style="1" bestFit="1" customWidth="1"/>
    <col min="8" max="8" width="7.88671875" style="1" bestFit="1" customWidth="1"/>
    <col min="9" max="9" width="10.109375" style="1" bestFit="1" customWidth="1"/>
    <col min="10" max="10" width="8" style="1" bestFit="1" customWidth="1"/>
    <col min="11" max="11" width="10.6640625" style="1" bestFit="1" customWidth="1"/>
    <col min="12" max="12" width="12.88671875" style="1" customWidth="1"/>
    <col min="13" max="13" width="14.33203125" style="1" customWidth="1"/>
    <col min="14" max="14" width="14.5546875" style="1" customWidth="1"/>
    <col min="15" max="15" width="17.33203125" style="1" customWidth="1"/>
    <col min="16" max="16384" width="11.44140625" style="1"/>
  </cols>
  <sheetData>
    <row r="1" spans="1:15" x14ac:dyDescent="0.3">
      <c r="A1" s="2" t="s">
        <v>24</v>
      </c>
      <c r="F1" s="4" t="s">
        <v>16</v>
      </c>
      <c r="H1" s="4" t="s">
        <v>23</v>
      </c>
    </row>
    <row r="2" spans="1:15" x14ac:dyDescent="0.3">
      <c r="A2" s="2" t="s">
        <v>25</v>
      </c>
      <c r="B2" s="5" t="s">
        <v>59</v>
      </c>
      <c r="F2" s="6"/>
      <c r="H2" s="8">
        <v>0.09</v>
      </c>
    </row>
    <row r="3" spans="1:15" x14ac:dyDescent="0.3">
      <c r="A3" s="2" t="s">
        <v>15</v>
      </c>
      <c r="B3" s="5">
        <v>20452265495</v>
      </c>
      <c r="F3" s="4" t="s">
        <v>17</v>
      </c>
    </row>
    <row r="4" spans="1:15" x14ac:dyDescent="0.3">
      <c r="A4" s="2" t="s">
        <v>14</v>
      </c>
      <c r="B4" s="5" t="s">
        <v>140</v>
      </c>
      <c r="C4" s="15">
        <v>2016</v>
      </c>
      <c r="F4" s="7">
        <v>0.1</v>
      </c>
    </row>
    <row r="6" spans="1:15" x14ac:dyDescent="0.3">
      <c r="F6" s="3"/>
      <c r="G6" s="2" t="s">
        <v>18</v>
      </c>
      <c r="H6" s="2" t="s">
        <v>19</v>
      </c>
      <c r="I6" s="2" t="s">
        <v>60</v>
      </c>
      <c r="J6" s="2" t="s">
        <v>20</v>
      </c>
      <c r="K6" s="2" t="s">
        <v>21</v>
      </c>
      <c r="L6" s="2" t="s">
        <v>61</v>
      </c>
      <c r="M6" s="2" t="s">
        <v>62</v>
      </c>
      <c r="N6" s="2" t="s">
        <v>63</v>
      </c>
      <c r="O6" s="2" t="s">
        <v>64</v>
      </c>
    </row>
    <row r="7" spans="1:15" x14ac:dyDescent="0.3">
      <c r="F7" s="2" t="s">
        <v>11</v>
      </c>
      <c r="G7" s="7">
        <v>0.13</v>
      </c>
      <c r="H7" s="7">
        <v>0.1</v>
      </c>
      <c r="I7" s="7">
        <v>0.1</v>
      </c>
      <c r="J7" s="7">
        <v>0.1</v>
      </c>
      <c r="K7" s="7">
        <v>0.1</v>
      </c>
      <c r="L7" s="7">
        <v>0.1</v>
      </c>
      <c r="M7" s="7">
        <v>0.1</v>
      </c>
      <c r="N7" s="7">
        <v>0.1</v>
      </c>
      <c r="O7" s="7">
        <v>0.1</v>
      </c>
    </row>
    <row r="8" spans="1:15" x14ac:dyDescent="0.3">
      <c r="F8" s="2" t="s">
        <v>12</v>
      </c>
      <c r="G8" s="7"/>
      <c r="H8" s="7">
        <v>1.6E-2</v>
      </c>
      <c r="I8" s="7">
        <v>1.47E-2</v>
      </c>
      <c r="J8" s="7">
        <v>1.55E-2</v>
      </c>
      <c r="K8" s="7">
        <v>1.6899999999999998E-2</v>
      </c>
      <c r="L8" s="7">
        <v>1.1900000000000001E-2</v>
      </c>
      <c r="M8" s="7">
        <v>3.8E-3</v>
      </c>
      <c r="N8" s="7">
        <v>1.23E-2</v>
      </c>
      <c r="O8" s="7">
        <v>1.46E-2</v>
      </c>
    </row>
    <row r="9" spans="1:15" x14ac:dyDescent="0.3">
      <c r="F9" s="2" t="s">
        <v>22</v>
      </c>
      <c r="G9" s="7"/>
      <c r="H9" s="7">
        <v>1.3299999999999999E-2</v>
      </c>
      <c r="I9" s="7">
        <v>1.3299999999999999E-2</v>
      </c>
      <c r="J9" s="7">
        <v>1.3299999999999999E-2</v>
      </c>
      <c r="K9" s="7">
        <v>1.3299999999999999E-2</v>
      </c>
      <c r="L9" s="7">
        <v>1.2500000000000001E-2</v>
      </c>
      <c r="M9" s="7">
        <v>1.2500000000000001E-2</v>
      </c>
      <c r="N9" s="7">
        <v>1.2E-2</v>
      </c>
      <c r="O9" s="7">
        <v>1.2E-2</v>
      </c>
    </row>
    <row r="13" spans="1:15" x14ac:dyDescent="0.3">
      <c r="D13"/>
    </row>
    <row r="18" spans="2:2" x14ac:dyDescent="0.3">
      <c r="B18"/>
    </row>
  </sheetData>
  <sheetProtection formatCells="0" formatColumns="0" formatRows="0" insertColumns="0" insertRows="0" insertHyperlinks="0" deleteColumns="0" deleteRows="0" sort="0" autoFilter="0" pivotTables="0"/>
  <dataConsolidate/>
  <dataValidations count="1">
    <dataValidation type="list" allowBlank="1" showInputMessage="1" showErrorMessage="1" sqref="B4" xr:uid="{00000000-0002-0000-0100-000000000000}">
      <formula1>"ENERO,FEBRERO,MARZO,ABRIL,MAYO,JUNIO,JULIO,AGOSTO,SETIEMBRE,OCTUBRE,NOVIEMBRE,DICIEMBRE"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Hoja1!$A$19:$A$23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outlinePr applyStyles="1"/>
  </sheetPr>
  <dimension ref="A1:Z26"/>
  <sheetViews>
    <sheetView tabSelected="1" view="pageBreakPreview" topLeftCell="I1" zoomScale="85" zoomScaleNormal="85" zoomScaleSheetLayoutView="85" workbookViewId="0">
      <pane ySplit="1" topLeftCell="A2" activePane="bottomLeft" state="frozen"/>
      <selection activeCell="G6" sqref="G6"/>
      <selection pane="bottomLeft" activeCell="V1" sqref="V1"/>
    </sheetView>
  </sheetViews>
  <sheetFormatPr baseColWidth="10" defaultColWidth="11.44140625" defaultRowHeight="14.4" x14ac:dyDescent="0.3"/>
  <cols>
    <col min="1" max="4" width="11.44140625" style="1"/>
    <col min="5" max="6" width="13.88671875" style="1" customWidth="1"/>
    <col min="7" max="7" width="33.44140625" style="1" customWidth="1"/>
    <col min="8" max="8" width="11.44140625" style="1" customWidth="1"/>
    <col min="9" max="9" width="17.109375" style="1" customWidth="1"/>
    <col min="10" max="10" width="13" style="1" customWidth="1"/>
    <col min="11" max="11" width="11.44140625" style="1" customWidth="1"/>
    <col min="12" max="12" width="7.88671875" style="1" customWidth="1"/>
    <col min="13" max="13" width="12.21875" style="1" customWidth="1"/>
    <col min="14" max="14" width="15.6640625" style="1" customWidth="1"/>
    <col min="15" max="15" width="11.44140625" style="1" customWidth="1"/>
    <col min="16" max="16" width="9.88671875" style="1" bestFit="1" customWidth="1"/>
    <col min="17" max="17" width="11.44140625" style="1"/>
    <col min="18" max="18" width="16.44140625" style="1" bestFit="1" customWidth="1"/>
    <col min="19" max="19" width="14.109375" style="1" customWidth="1"/>
    <col min="20" max="20" width="12.109375" style="1" customWidth="1"/>
    <col min="21" max="21" width="11.44140625" style="1"/>
    <col min="22" max="22" width="12.88671875" style="33" customWidth="1"/>
    <col min="23" max="23" width="12.33203125" style="1" customWidth="1"/>
    <col min="24" max="24" width="13.44140625" style="1" customWidth="1"/>
    <col min="25" max="25" width="11.44140625" style="1"/>
    <col min="26" max="26" width="12.88671875" style="1" customWidth="1"/>
    <col min="27" max="16384" width="11.44140625" style="1"/>
  </cols>
  <sheetData>
    <row r="1" spans="1:26" ht="14.4" customHeight="1" x14ac:dyDescent="0.3">
      <c r="A1" s="14" t="s">
        <v>0</v>
      </c>
      <c r="B1" s="14" t="s">
        <v>152</v>
      </c>
      <c r="C1" s="14" t="s">
        <v>153</v>
      </c>
      <c r="D1" s="14" t="s">
        <v>26</v>
      </c>
      <c r="E1" s="14" t="s">
        <v>38</v>
      </c>
      <c r="F1" s="14" t="s">
        <v>65</v>
      </c>
      <c r="G1" s="14" t="s">
        <v>1</v>
      </c>
      <c r="H1" s="14" t="s">
        <v>55</v>
      </c>
      <c r="I1" s="14" t="s">
        <v>2</v>
      </c>
      <c r="J1" s="14" t="s">
        <v>3</v>
      </c>
      <c r="K1" s="14" t="s">
        <v>6</v>
      </c>
      <c r="L1" s="14" t="s">
        <v>146</v>
      </c>
      <c r="M1" s="14" t="s">
        <v>154</v>
      </c>
      <c r="N1" s="14" t="s">
        <v>145</v>
      </c>
      <c r="O1" s="14" t="s">
        <v>4</v>
      </c>
      <c r="P1" s="14" t="s">
        <v>28</v>
      </c>
      <c r="Q1" s="14" t="s">
        <v>27</v>
      </c>
      <c r="R1" s="13" t="s">
        <v>10</v>
      </c>
      <c r="S1" s="14" t="s">
        <v>11</v>
      </c>
      <c r="T1" s="14" t="s">
        <v>12</v>
      </c>
      <c r="U1" s="14" t="s">
        <v>13</v>
      </c>
      <c r="V1" s="14" t="s">
        <v>66</v>
      </c>
      <c r="W1" s="14" t="s">
        <v>7</v>
      </c>
      <c r="X1" s="14" t="s">
        <v>5</v>
      </c>
      <c r="Y1" s="14" t="s">
        <v>8</v>
      </c>
      <c r="Z1" s="14" t="s">
        <v>9</v>
      </c>
    </row>
    <row r="2" spans="1:26" customFormat="1" x14ac:dyDescent="0.3">
      <c r="A2" s="25">
        <v>1</v>
      </c>
      <c r="B2">
        <v>4</v>
      </c>
      <c r="C2">
        <v>2016</v>
      </c>
      <c r="D2" s="25">
        <v>44292928</v>
      </c>
      <c r="E2" s="25">
        <v>0</v>
      </c>
      <c r="F2" s="25" t="s">
        <v>120</v>
      </c>
      <c r="G2" s="3" t="s">
        <v>70</v>
      </c>
      <c r="H2" s="26" t="s">
        <v>69</v>
      </c>
      <c r="I2" s="3" t="s">
        <v>71</v>
      </c>
      <c r="J2" s="27"/>
      <c r="K2" s="28">
        <v>2000</v>
      </c>
      <c r="L2" s="29"/>
      <c r="M2" s="29"/>
      <c r="N2" s="29"/>
      <c r="O2" s="30">
        <v>2000</v>
      </c>
      <c r="P2" s="27" t="s">
        <v>29</v>
      </c>
      <c r="Q2" s="29">
        <v>260</v>
      </c>
      <c r="R2" s="27"/>
      <c r="S2" s="29">
        <v>0</v>
      </c>
      <c r="T2" s="29">
        <v>0</v>
      </c>
      <c r="U2" s="29">
        <v>0</v>
      </c>
      <c r="V2" s="32">
        <v>0</v>
      </c>
      <c r="W2" s="30">
        <v>260</v>
      </c>
      <c r="X2" s="30">
        <v>1740</v>
      </c>
      <c r="Y2" s="29">
        <v>106.64999999999999</v>
      </c>
      <c r="Z2" s="30">
        <v>106.64999999999999</v>
      </c>
    </row>
    <row r="3" spans="1:26" customFormat="1" x14ac:dyDescent="0.3">
      <c r="A3" s="25">
        <v>2</v>
      </c>
      <c r="B3">
        <v>4</v>
      </c>
      <c r="C3">
        <v>2016</v>
      </c>
      <c r="D3" s="25">
        <v>47736641</v>
      </c>
      <c r="E3" s="25">
        <v>0</v>
      </c>
      <c r="F3" s="25" t="s">
        <v>121</v>
      </c>
      <c r="G3" s="3" t="s">
        <v>72</v>
      </c>
      <c r="H3" s="26" t="s">
        <v>69</v>
      </c>
      <c r="I3" s="3" t="s">
        <v>71</v>
      </c>
      <c r="J3" s="27"/>
      <c r="K3" s="28">
        <v>2000</v>
      </c>
      <c r="L3" s="29"/>
      <c r="M3" s="29"/>
      <c r="N3" s="29"/>
      <c r="O3" s="30">
        <v>2000</v>
      </c>
      <c r="P3" s="27" t="s">
        <v>29</v>
      </c>
      <c r="Q3" s="29">
        <v>260</v>
      </c>
      <c r="R3" s="27"/>
      <c r="S3" s="29">
        <v>0</v>
      </c>
      <c r="T3" s="29">
        <v>0</v>
      </c>
      <c r="U3" s="29">
        <v>0</v>
      </c>
      <c r="V3" s="32">
        <v>0</v>
      </c>
      <c r="W3" s="30">
        <v>260</v>
      </c>
      <c r="X3" s="30">
        <v>1740</v>
      </c>
      <c r="Y3" s="29">
        <v>106.64999999999999</v>
      </c>
      <c r="Z3" s="30">
        <v>106.64999999999999</v>
      </c>
    </row>
    <row r="4" spans="1:26" x14ac:dyDescent="0.3">
      <c r="A4" s="25">
        <v>3</v>
      </c>
      <c r="B4">
        <v>4</v>
      </c>
      <c r="C4">
        <v>2016</v>
      </c>
      <c r="D4" s="58">
        <v>46809384</v>
      </c>
      <c r="E4" s="25">
        <v>0</v>
      </c>
      <c r="F4" s="25">
        <v>0</v>
      </c>
      <c r="G4" s="3" t="s">
        <v>142</v>
      </c>
      <c r="H4" s="26" t="s">
        <v>141</v>
      </c>
      <c r="I4" s="3" t="s">
        <v>110</v>
      </c>
      <c r="J4" s="27"/>
      <c r="K4" s="28">
        <v>2000</v>
      </c>
      <c r="L4" s="11">
        <v>466</v>
      </c>
      <c r="M4" s="11"/>
      <c r="N4" s="11">
        <v>0</v>
      </c>
      <c r="O4" s="30">
        <v>2466</v>
      </c>
      <c r="P4" s="10" t="s">
        <v>29</v>
      </c>
      <c r="Q4" s="11">
        <v>260</v>
      </c>
      <c r="R4" s="10"/>
      <c r="S4" s="29">
        <v>0</v>
      </c>
      <c r="T4" s="29">
        <v>0</v>
      </c>
      <c r="U4" s="29">
        <v>0</v>
      </c>
      <c r="V4" s="32">
        <v>0</v>
      </c>
      <c r="W4" s="12">
        <v>260</v>
      </c>
      <c r="X4" s="12">
        <v>2206</v>
      </c>
      <c r="Y4" s="29">
        <v>106.64999999999999</v>
      </c>
      <c r="Z4" s="12">
        <v>106.64999999999999</v>
      </c>
    </row>
    <row r="5" spans="1:26" x14ac:dyDescent="0.3">
      <c r="A5" s="25">
        <v>4</v>
      </c>
      <c r="B5">
        <v>4</v>
      </c>
      <c r="C5">
        <v>2016</v>
      </c>
      <c r="D5" s="9">
        <v>42005478</v>
      </c>
      <c r="E5" s="25">
        <v>0</v>
      </c>
      <c r="F5" s="25" t="s">
        <v>122</v>
      </c>
      <c r="G5" s="3" t="s">
        <v>73</v>
      </c>
      <c r="H5" s="26" t="s">
        <v>69</v>
      </c>
      <c r="I5" s="3" t="s">
        <v>74</v>
      </c>
      <c r="J5" s="27"/>
      <c r="K5" s="28">
        <v>1500</v>
      </c>
      <c r="L5" s="11"/>
      <c r="M5" s="11"/>
      <c r="N5" s="11"/>
      <c r="O5" s="30">
        <v>1500</v>
      </c>
      <c r="P5" s="10" t="s">
        <v>29</v>
      </c>
      <c r="Q5" s="11">
        <v>195</v>
      </c>
      <c r="R5" s="10"/>
      <c r="S5" s="29">
        <v>0</v>
      </c>
      <c r="T5" s="29">
        <v>0</v>
      </c>
      <c r="U5" s="29">
        <v>0</v>
      </c>
      <c r="V5" s="32">
        <v>0</v>
      </c>
      <c r="W5" s="12">
        <v>195</v>
      </c>
      <c r="X5" s="12">
        <v>1305</v>
      </c>
      <c r="Y5" s="29">
        <v>106.64999999999999</v>
      </c>
      <c r="Z5" s="12">
        <v>106.64999999999999</v>
      </c>
    </row>
    <row r="6" spans="1:26" x14ac:dyDescent="0.3">
      <c r="A6" s="25">
        <v>5</v>
      </c>
      <c r="B6">
        <v>4</v>
      </c>
      <c r="C6">
        <v>2016</v>
      </c>
      <c r="D6" s="9">
        <v>21577674</v>
      </c>
      <c r="E6" s="25" t="s">
        <v>75</v>
      </c>
      <c r="F6" s="25" t="s">
        <v>123</v>
      </c>
      <c r="G6" s="3" t="s">
        <v>76</v>
      </c>
      <c r="H6" s="26" t="s">
        <v>69</v>
      </c>
      <c r="I6" s="3" t="s">
        <v>74</v>
      </c>
      <c r="J6" s="27"/>
      <c r="K6" s="28">
        <v>1500</v>
      </c>
      <c r="L6" s="11"/>
      <c r="M6" s="11"/>
      <c r="N6" s="11"/>
      <c r="O6" s="30">
        <v>1500</v>
      </c>
      <c r="P6" s="10" t="s">
        <v>118</v>
      </c>
      <c r="Q6" s="11">
        <v>0</v>
      </c>
      <c r="R6" s="10" t="s">
        <v>21</v>
      </c>
      <c r="S6" s="29">
        <v>150</v>
      </c>
      <c r="T6" s="29">
        <v>25.349999999999998</v>
      </c>
      <c r="U6" s="29">
        <v>19.95</v>
      </c>
      <c r="V6" s="32">
        <v>0</v>
      </c>
      <c r="W6" s="12">
        <v>195.29999999999998</v>
      </c>
      <c r="X6" s="12">
        <v>1304.7</v>
      </c>
      <c r="Y6" s="29">
        <v>106.64999999999999</v>
      </c>
      <c r="Z6" s="12">
        <v>106.64999999999999</v>
      </c>
    </row>
    <row r="7" spans="1:26" x14ac:dyDescent="0.3">
      <c r="A7" s="25">
        <v>6</v>
      </c>
      <c r="B7">
        <v>4</v>
      </c>
      <c r="C7">
        <v>2016</v>
      </c>
      <c r="D7" s="9">
        <v>22304157</v>
      </c>
      <c r="E7" s="25" t="s">
        <v>77</v>
      </c>
      <c r="F7" s="25" t="s">
        <v>124</v>
      </c>
      <c r="G7" s="3" t="s">
        <v>78</v>
      </c>
      <c r="H7" s="26" t="s">
        <v>69</v>
      </c>
      <c r="I7" s="3" t="s">
        <v>79</v>
      </c>
      <c r="J7" s="27"/>
      <c r="K7" s="28">
        <v>1150</v>
      </c>
      <c r="L7" s="11"/>
      <c r="M7" s="11"/>
      <c r="N7" s="11"/>
      <c r="O7" s="30">
        <v>1150</v>
      </c>
      <c r="P7" s="10" t="s">
        <v>118</v>
      </c>
      <c r="Q7" s="11">
        <v>0</v>
      </c>
      <c r="R7" s="10" t="s">
        <v>20</v>
      </c>
      <c r="S7" s="29">
        <v>115</v>
      </c>
      <c r="T7" s="29">
        <v>17.824999999999999</v>
      </c>
      <c r="U7" s="29">
        <v>15.295</v>
      </c>
      <c r="V7" s="32">
        <v>0</v>
      </c>
      <c r="W7" s="12">
        <v>148.11999999999998</v>
      </c>
      <c r="X7" s="12">
        <v>1001.88</v>
      </c>
      <c r="Y7" s="29">
        <v>106.64999999999999</v>
      </c>
      <c r="Z7" s="12">
        <v>106.64999999999999</v>
      </c>
    </row>
    <row r="8" spans="1:26" x14ac:dyDescent="0.3">
      <c r="A8" s="25">
        <v>7</v>
      </c>
      <c r="B8">
        <v>4</v>
      </c>
      <c r="C8">
        <v>2016</v>
      </c>
      <c r="D8" s="9">
        <v>44174948</v>
      </c>
      <c r="E8" s="25" t="s">
        <v>80</v>
      </c>
      <c r="F8" s="25" t="s">
        <v>125</v>
      </c>
      <c r="G8" s="3" t="s">
        <v>81</v>
      </c>
      <c r="H8" s="26">
        <v>0</v>
      </c>
      <c r="I8" s="3" t="s">
        <v>82</v>
      </c>
      <c r="J8" s="27"/>
      <c r="K8" s="28">
        <v>1400</v>
      </c>
      <c r="L8" s="11"/>
      <c r="M8" s="11"/>
      <c r="N8" s="11"/>
      <c r="O8" s="30">
        <v>1400</v>
      </c>
      <c r="P8" s="10" t="s">
        <v>118</v>
      </c>
      <c r="Q8" s="11">
        <v>0</v>
      </c>
      <c r="R8" s="10" t="s">
        <v>61</v>
      </c>
      <c r="S8" s="29">
        <v>140</v>
      </c>
      <c r="T8" s="29">
        <v>20.58</v>
      </c>
      <c r="U8" s="29">
        <v>18.619999999999997</v>
      </c>
      <c r="V8" s="32">
        <v>0</v>
      </c>
      <c r="W8" s="12">
        <v>179.2</v>
      </c>
      <c r="X8" s="12">
        <v>1220.8</v>
      </c>
      <c r="Y8" s="29">
        <v>106.64999999999999</v>
      </c>
      <c r="Z8" s="12">
        <v>106.64999999999999</v>
      </c>
    </row>
    <row r="9" spans="1:26" x14ac:dyDescent="0.3">
      <c r="A9" s="25">
        <v>8</v>
      </c>
      <c r="B9">
        <v>4</v>
      </c>
      <c r="C9">
        <v>2016</v>
      </c>
      <c r="D9" s="9">
        <v>70095213</v>
      </c>
      <c r="E9" s="25" t="s">
        <v>83</v>
      </c>
      <c r="F9" s="25" t="s">
        <v>126</v>
      </c>
      <c r="G9" s="3" t="s">
        <v>84</v>
      </c>
      <c r="H9" s="26">
        <v>0</v>
      </c>
      <c r="I9" s="3" t="s">
        <v>82</v>
      </c>
      <c r="J9" s="27"/>
      <c r="K9" s="28">
        <v>1400</v>
      </c>
      <c r="L9" s="11"/>
      <c r="M9" s="11"/>
      <c r="N9" s="11"/>
      <c r="O9" s="30">
        <v>1400</v>
      </c>
      <c r="P9" s="10" t="s">
        <v>118</v>
      </c>
      <c r="Q9" s="11">
        <v>0</v>
      </c>
      <c r="R9" s="10" t="s">
        <v>64</v>
      </c>
      <c r="S9" s="29">
        <v>140</v>
      </c>
      <c r="T9" s="29">
        <v>20.58</v>
      </c>
      <c r="U9" s="29">
        <v>18.619999999999997</v>
      </c>
      <c r="V9" s="32">
        <v>0</v>
      </c>
      <c r="W9" s="12">
        <v>179.2</v>
      </c>
      <c r="X9" s="12">
        <v>1220.8</v>
      </c>
      <c r="Y9" s="29">
        <v>106.64999999999999</v>
      </c>
      <c r="Z9" s="12">
        <v>106.64999999999999</v>
      </c>
    </row>
    <row r="10" spans="1:26" x14ac:dyDescent="0.3">
      <c r="A10" s="25">
        <v>9</v>
      </c>
      <c r="B10">
        <v>4</v>
      </c>
      <c r="C10">
        <v>2016</v>
      </c>
      <c r="D10" s="9">
        <v>40656524</v>
      </c>
      <c r="E10" s="25" t="s">
        <v>85</v>
      </c>
      <c r="F10" s="25" t="s">
        <v>127</v>
      </c>
      <c r="G10" s="3" t="s">
        <v>86</v>
      </c>
      <c r="H10" s="26" t="s">
        <v>69</v>
      </c>
      <c r="I10" s="3" t="s">
        <v>87</v>
      </c>
      <c r="J10" s="27"/>
      <c r="K10" s="28">
        <v>1150</v>
      </c>
      <c r="L10" s="11"/>
      <c r="M10" s="11"/>
      <c r="N10" s="11"/>
      <c r="O10" s="30">
        <v>1150</v>
      </c>
      <c r="P10" s="10" t="s">
        <v>118</v>
      </c>
      <c r="Q10" s="11">
        <v>0</v>
      </c>
      <c r="R10" s="10" t="s">
        <v>63</v>
      </c>
      <c r="S10" s="29">
        <v>115</v>
      </c>
      <c r="T10" s="29">
        <v>16.905000000000001</v>
      </c>
      <c r="U10" s="29">
        <v>15.295</v>
      </c>
      <c r="V10" s="32">
        <v>0</v>
      </c>
      <c r="W10" s="12">
        <v>147.19999999999999</v>
      </c>
      <c r="X10" s="12">
        <v>1002.8</v>
      </c>
      <c r="Y10" s="29">
        <v>106.64999999999999</v>
      </c>
      <c r="Z10" s="12">
        <v>106.64999999999999</v>
      </c>
    </row>
    <row r="11" spans="1:26" x14ac:dyDescent="0.3">
      <c r="A11" s="25">
        <v>10</v>
      </c>
      <c r="B11">
        <v>4</v>
      </c>
      <c r="C11">
        <v>2016</v>
      </c>
      <c r="D11" s="9">
        <v>22311035</v>
      </c>
      <c r="E11" s="25" t="s">
        <v>88</v>
      </c>
      <c r="F11" s="25" t="s">
        <v>128</v>
      </c>
      <c r="G11" s="3" t="s">
        <v>89</v>
      </c>
      <c r="H11" s="26" t="s">
        <v>69</v>
      </c>
      <c r="I11" s="3" t="s">
        <v>87</v>
      </c>
      <c r="J11" s="27"/>
      <c r="K11" s="28">
        <v>1150</v>
      </c>
      <c r="L11" s="11"/>
      <c r="M11" s="11"/>
      <c r="N11" s="11"/>
      <c r="O11" s="30">
        <v>1150</v>
      </c>
      <c r="P11" s="10" t="s">
        <v>118</v>
      </c>
      <c r="Q11" s="11">
        <v>0</v>
      </c>
      <c r="R11" s="10" t="s">
        <v>19</v>
      </c>
      <c r="S11" s="29">
        <v>115</v>
      </c>
      <c r="T11" s="29">
        <v>18.400000000000002</v>
      </c>
      <c r="U11" s="29">
        <v>15.295</v>
      </c>
      <c r="V11" s="32">
        <v>0</v>
      </c>
      <c r="W11" s="12">
        <v>148.69499999999999</v>
      </c>
      <c r="X11" s="12">
        <v>1001.3050000000001</v>
      </c>
      <c r="Y11" s="29">
        <v>106.64999999999999</v>
      </c>
      <c r="Z11" s="12">
        <v>106.64999999999999</v>
      </c>
    </row>
    <row r="12" spans="1:26" x14ac:dyDescent="0.3">
      <c r="A12" s="25">
        <v>11</v>
      </c>
      <c r="B12">
        <v>4</v>
      </c>
      <c r="C12">
        <v>2016</v>
      </c>
      <c r="D12" s="9">
        <v>20026288</v>
      </c>
      <c r="E12" s="25">
        <v>0</v>
      </c>
      <c r="F12" s="25">
        <v>0</v>
      </c>
      <c r="G12" s="3" t="s">
        <v>119</v>
      </c>
      <c r="H12" s="26" t="s">
        <v>69</v>
      </c>
      <c r="I12" s="3" t="s">
        <v>87</v>
      </c>
      <c r="J12" s="27"/>
      <c r="K12" s="28">
        <v>1150</v>
      </c>
      <c r="L12" s="11"/>
      <c r="M12" s="11"/>
      <c r="N12" s="11"/>
      <c r="O12" s="30">
        <v>1150</v>
      </c>
      <c r="P12" s="10" t="s">
        <v>29</v>
      </c>
      <c r="Q12" s="11">
        <v>149.5</v>
      </c>
      <c r="R12" s="10"/>
      <c r="S12" s="29">
        <v>0</v>
      </c>
      <c r="T12" s="29">
        <v>0</v>
      </c>
      <c r="U12" s="29">
        <v>0</v>
      </c>
      <c r="V12" s="32">
        <v>0</v>
      </c>
      <c r="W12" s="12">
        <v>149.5</v>
      </c>
      <c r="X12" s="12">
        <v>1000.5</v>
      </c>
      <c r="Y12" s="29">
        <v>106.64999999999999</v>
      </c>
      <c r="Z12" s="12">
        <v>106.64999999999999</v>
      </c>
    </row>
    <row r="13" spans="1:26" x14ac:dyDescent="0.3">
      <c r="A13" s="25">
        <v>12</v>
      </c>
      <c r="B13">
        <v>4</v>
      </c>
      <c r="C13">
        <v>2016</v>
      </c>
      <c r="D13" s="9">
        <v>40496369</v>
      </c>
      <c r="E13" s="25" t="s">
        <v>90</v>
      </c>
      <c r="F13" s="25" t="s">
        <v>129</v>
      </c>
      <c r="G13" s="3" t="s">
        <v>91</v>
      </c>
      <c r="H13" s="26" t="s">
        <v>69</v>
      </c>
      <c r="I13" s="3" t="s">
        <v>87</v>
      </c>
      <c r="J13" s="27"/>
      <c r="K13" s="28">
        <v>1150</v>
      </c>
      <c r="L13" s="11"/>
      <c r="M13" s="11"/>
      <c r="N13" s="11"/>
      <c r="O13" s="30">
        <v>1150</v>
      </c>
      <c r="P13" s="10" t="s">
        <v>118</v>
      </c>
      <c r="Q13" s="11">
        <v>0</v>
      </c>
      <c r="R13" s="10" t="s">
        <v>64</v>
      </c>
      <c r="S13" s="29">
        <v>115</v>
      </c>
      <c r="T13" s="29">
        <v>16.905000000000001</v>
      </c>
      <c r="U13" s="29">
        <v>15.295</v>
      </c>
      <c r="V13" s="32">
        <v>0</v>
      </c>
      <c r="W13" s="12">
        <v>147.19999999999999</v>
      </c>
      <c r="X13" s="12">
        <v>1002.8</v>
      </c>
      <c r="Y13" s="29">
        <v>106.64999999999999</v>
      </c>
      <c r="Z13" s="12">
        <v>106.64999999999999</v>
      </c>
    </row>
    <row r="14" spans="1:26" x14ac:dyDescent="0.3">
      <c r="A14" s="25">
        <v>13</v>
      </c>
      <c r="B14">
        <v>4</v>
      </c>
      <c r="C14">
        <v>2016</v>
      </c>
      <c r="D14" s="9">
        <v>23536904</v>
      </c>
      <c r="E14" s="25" t="s">
        <v>92</v>
      </c>
      <c r="F14" s="25" t="s">
        <v>130</v>
      </c>
      <c r="G14" s="3" t="s">
        <v>93</v>
      </c>
      <c r="H14" s="26" t="s">
        <v>69</v>
      </c>
      <c r="I14" s="3" t="s">
        <v>87</v>
      </c>
      <c r="J14" s="27"/>
      <c r="K14" s="28">
        <v>1150</v>
      </c>
      <c r="L14" s="11"/>
      <c r="M14" s="11"/>
      <c r="N14" s="11"/>
      <c r="O14" s="30">
        <v>1150</v>
      </c>
      <c r="P14" s="10" t="s">
        <v>118</v>
      </c>
      <c r="Q14" s="11">
        <v>0</v>
      </c>
      <c r="R14" s="10" t="s">
        <v>64</v>
      </c>
      <c r="S14" s="29">
        <v>115</v>
      </c>
      <c r="T14" s="29">
        <v>16.905000000000001</v>
      </c>
      <c r="U14" s="29">
        <v>15.295</v>
      </c>
      <c r="V14" s="32">
        <v>0</v>
      </c>
      <c r="W14" s="12">
        <v>147.19999999999999</v>
      </c>
      <c r="X14" s="12">
        <v>1002.8</v>
      </c>
      <c r="Y14" s="29">
        <v>106.64999999999999</v>
      </c>
      <c r="Z14" s="12">
        <v>106.64999999999999</v>
      </c>
    </row>
    <row r="15" spans="1:26" x14ac:dyDescent="0.3">
      <c r="A15" s="25">
        <v>14</v>
      </c>
      <c r="B15">
        <v>4</v>
      </c>
      <c r="C15">
        <v>2016</v>
      </c>
      <c r="D15" s="9">
        <v>70139750</v>
      </c>
      <c r="E15" s="25">
        <v>0</v>
      </c>
      <c r="F15" s="25" t="s">
        <v>131</v>
      </c>
      <c r="G15" s="3" t="s">
        <v>94</v>
      </c>
      <c r="H15" s="26" t="s">
        <v>69</v>
      </c>
      <c r="I15" s="3" t="s">
        <v>87</v>
      </c>
      <c r="J15" s="27"/>
      <c r="K15" s="28">
        <v>1150</v>
      </c>
      <c r="L15" s="11"/>
      <c r="M15" s="11"/>
      <c r="N15" s="11"/>
      <c r="O15" s="30">
        <v>1150</v>
      </c>
      <c r="P15" s="10" t="s">
        <v>29</v>
      </c>
      <c r="Q15" s="11">
        <v>149.5</v>
      </c>
      <c r="R15" s="10"/>
      <c r="S15" s="29">
        <v>0</v>
      </c>
      <c r="T15" s="29">
        <v>0</v>
      </c>
      <c r="U15" s="29">
        <v>0</v>
      </c>
      <c r="V15" s="32">
        <v>0</v>
      </c>
      <c r="W15" s="12">
        <v>149.5</v>
      </c>
      <c r="X15" s="12">
        <v>1000.5</v>
      </c>
      <c r="Y15" s="29">
        <v>106.64999999999999</v>
      </c>
      <c r="Z15" s="12">
        <v>106.64999999999999</v>
      </c>
    </row>
    <row r="16" spans="1:26" x14ac:dyDescent="0.3">
      <c r="A16" s="25">
        <v>15</v>
      </c>
      <c r="B16">
        <v>4</v>
      </c>
      <c r="C16">
        <v>2016</v>
      </c>
      <c r="D16" s="9">
        <v>46884173</v>
      </c>
      <c r="E16" s="25">
        <v>0</v>
      </c>
      <c r="F16" s="25">
        <v>0</v>
      </c>
      <c r="G16" s="3" t="s">
        <v>95</v>
      </c>
      <c r="H16" s="26" t="s">
        <v>69</v>
      </c>
      <c r="I16" s="3" t="s">
        <v>87</v>
      </c>
      <c r="J16" s="27"/>
      <c r="K16" s="28">
        <v>1150</v>
      </c>
      <c r="L16" s="11"/>
      <c r="M16" s="11"/>
      <c r="N16" s="11"/>
      <c r="O16" s="30">
        <v>1150</v>
      </c>
      <c r="P16" s="10" t="s">
        <v>29</v>
      </c>
      <c r="Q16" s="11">
        <v>149.5</v>
      </c>
      <c r="R16" s="10"/>
      <c r="S16" s="29">
        <v>0</v>
      </c>
      <c r="T16" s="29">
        <v>0</v>
      </c>
      <c r="U16" s="29">
        <v>0</v>
      </c>
      <c r="V16" s="32">
        <v>0</v>
      </c>
      <c r="W16" s="12">
        <v>149.5</v>
      </c>
      <c r="X16" s="12">
        <v>1000.5</v>
      </c>
      <c r="Y16" s="29">
        <v>106.64999999999999</v>
      </c>
      <c r="Z16" s="12">
        <v>106.64999999999999</v>
      </c>
    </row>
    <row r="17" spans="1:26" x14ac:dyDescent="0.3">
      <c r="A17" s="25">
        <v>16</v>
      </c>
      <c r="B17">
        <v>4</v>
      </c>
      <c r="C17">
        <v>2016</v>
      </c>
      <c r="D17" s="9">
        <v>70191851</v>
      </c>
      <c r="E17" s="25">
        <v>0</v>
      </c>
      <c r="F17" s="25" t="s">
        <v>132</v>
      </c>
      <c r="G17" s="3" t="s">
        <v>96</v>
      </c>
      <c r="H17" s="26">
        <v>0</v>
      </c>
      <c r="I17" s="3" t="s">
        <v>87</v>
      </c>
      <c r="J17" s="27"/>
      <c r="K17" s="28">
        <v>1150</v>
      </c>
      <c r="L17" s="11"/>
      <c r="M17" s="11"/>
      <c r="N17" s="11">
        <v>230</v>
      </c>
      <c r="O17" s="30">
        <v>920</v>
      </c>
      <c r="P17" s="10" t="s">
        <v>29</v>
      </c>
      <c r="Q17" s="11">
        <v>149.5</v>
      </c>
      <c r="R17" s="10"/>
      <c r="S17" s="29">
        <v>0</v>
      </c>
      <c r="T17" s="29">
        <v>0</v>
      </c>
      <c r="U17" s="29">
        <v>0</v>
      </c>
      <c r="V17" s="32">
        <v>0</v>
      </c>
      <c r="W17" s="12">
        <v>149.5</v>
      </c>
      <c r="X17" s="12">
        <v>770.5</v>
      </c>
      <c r="Y17" s="29">
        <v>106.64999999999999</v>
      </c>
      <c r="Z17" s="12">
        <v>106.64999999999999</v>
      </c>
    </row>
    <row r="18" spans="1:26" x14ac:dyDescent="0.3">
      <c r="A18" s="25">
        <v>17</v>
      </c>
      <c r="B18">
        <v>4</v>
      </c>
      <c r="C18">
        <v>2016</v>
      </c>
      <c r="D18" s="9">
        <v>43053352</v>
      </c>
      <c r="E18" s="25" t="s">
        <v>97</v>
      </c>
      <c r="F18" s="25" t="s">
        <v>133</v>
      </c>
      <c r="G18" s="3" t="s">
        <v>98</v>
      </c>
      <c r="H18" s="26" t="s">
        <v>69</v>
      </c>
      <c r="I18" s="3" t="s">
        <v>87</v>
      </c>
      <c r="J18" s="27"/>
      <c r="K18" s="28">
        <v>1150</v>
      </c>
      <c r="L18" s="11"/>
      <c r="M18" s="11"/>
      <c r="N18" s="11"/>
      <c r="O18" s="30">
        <v>1150</v>
      </c>
      <c r="P18" s="10" t="s">
        <v>118</v>
      </c>
      <c r="Q18" s="11">
        <v>0</v>
      </c>
      <c r="R18" s="10" t="s">
        <v>64</v>
      </c>
      <c r="S18" s="29">
        <v>115</v>
      </c>
      <c r="T18" s="29">
        <v>16.905000000000001</v>
      </c>
      <c r="U18" s="29">
        <v>15.295</v>
      </c>
      <c r="V18" s="32">
        <v>0</v>
      </c>
      <c r="W18" s="12">
        <v>147.19999999999999</v>
      </c>
      <c r="X18" s="12">
        <v>1002.8</v>
      </c>
      <c r="Y18" s="29">
        <v>106.64999999999999</v>
      </c>
      <c r="Z18" s="12">
        <v>106.64999999999999</v>
      </c>
    </row>
    <row r="19" spans="1:26" x14ac:dyDescent="0.3">
      <c r="A19" s="25">
        <v>18</v>
      </c>
      <c r="B19">
        <v>4</v>
      </c>
      <c r="C19">
        <v>2016</v>
      </c>
      <c r="D19" s="9">
        <v>19935851</v>
      </c>
      <c r="E19" s="25" t="s">
        <v>100</v>
      </c>
      <c r="F19" s="25" t="s">
        <v>134</v>
      </c>
      <c r="G19" s="3" t="s">
        <v>101</v>
      </c>
      <c r="H19" s="26" t="s">
        <v>69</v>
      </c>
      <c r="I19" s="3" t="s">
        <v>99</v>
      </c>
      <c r="J19" s="27"/>
      <c r="K19" s="28">
        <v>1150</v>
      </c>
      <c r="L19" s="11"/>
      <c r="M19" s="11"/>
      <c r="N19" s="11"/>
      <c r="O19" s="30">
        <v>1150</v>
      </c>
      <c r="P19" s="10" t="s">
        <v>118</v>
      </c>
      <c r="Q19" s="11">
        <v>0</v>
      </c>
      <c r="R19" s="10" t="s">
        <v>19</v>
      </c>
      <c r="S19" s="29">
        <v>115</v>
      </c>
      <c r="T19" s="29">
        <v>18.400000000000002</v>
      </c>
      <c r="U19" s="29">
        <v>15.295</v>
      </c>
      <c r="V19" s="32">
        <v>0</v>
      </c>
      <c r="W19" s="12">
        <v>148.69499999999999</v>
      </c>
      <c r="X19" s="12">
        <v>1001.3050000000001</v>
      </c>
      <c r="Y19" s="29">
        <v>106.64999999999999</v>
      </c>
      <c r="Z19" s="12">
        <v>106.64999999999999</v>
      </c>
    </row>
    <row r="20" spans="1:26" x14ac:dyDescent="0.3">
      <c r="A20" s="25">
        <v>19</v>
      </c>
      <c r="B20">
        <v>4</v>
      </c>
      <c r="C20">
        <v>2016</v>
      </c>
      <c r="D20" s="9">
        <v>44830320</v>
      </c>
      <c r="E20" s="25">
        <v>0</v>
      </c>
      <c r="F20" s="25" t="s">
        <v>135</v>
      </c>
      <c r="G20" s="3" t="s">
        <v>102</v>
      </c>
      <c r="H20" s="26" t="s">
        <v>69</v>
      </c>
      <c r="I20" s="3" t="s">
        <v>99</v>
      </c>
      <c r="J20" s="27"/>
      <c r="K20" s="28">
        <v>1150</v>
      </c>
      <c r="L20" s="11"/>
      <c r="M20" s="11"/>
      <c r="N20" s="11">
        <v>345</v>
      </c>
      <c r="O20" s="30">
        <v>805</v>
      </c>
      <c r="P20" s="10" t="s">
        <v>29</v>
      </c>
      <c r="Q20" s="11">
        <v>149.5</v>
      </c>
      <c r="R20" s="10"/>
      <c r="S20" s="29">
        <v>0</v>
      </c>
      <c r="T20" s="29">
        <v>0</v>
      </c>
      <c r="U20" s="29">
        <v>0</v>
      </c>
      <c r="V20" s="32">
        <v>0</v>
      </c>
      <c r="W20" s="12">
        <v>149.5</v>
      </c>
      <c r="X20" s="12">
        <v>655.5</v>
      </c>
      <c r="Y20" s="29">
        <v>106.64999999999999</v>
      </c>
      <c r="Z20" s="12">
        <v>106.64999999999999</v>
      </c>
    </row>
    <row r="21" spans="1:26" x14ac:dyDescent="0.3">
      <c r="A21" s="25">
        <v>20</v>
      </c>
      <c r="B21">
        <v>4</v>
      </c>
      <c r="C21">
        <v>2016</v>
      </c>
      <c r="D21" s="9">
        <v>70191844</v>
      </c>
      <c r="E21" s="25">
        <v>0</v>
      </c>
      <c r="F21" s="25" t="s">
        <v>136</v>
      </c>
      <c r="G21" s="3" t="s">
        <v>103</v>
      </c>
      <c r="H21" s="26" t="s">
        <v>69</v>
      </c>
      <c r="I21" s="3" t="s">
        <v>104</v>
      </c>
      <c r="J21" s="27"/>
      <c r="K21" s="28">
        <v>2000</v>
      </c>
      <c r="L21" s="11"/>
      <c r="M21" s="11"/>
      <c r="N21" s="11"/>
      <c r="O21" s="30">
        <v>2000</v>
      </c>
      <c r="P21" s="10" t="s">
        <v>29</v>
      </c>
      <c r="Q21" s="11">
        <v>260</v>
      </c>
      <c r="R21" s="10"/>
      <c r="S21" s="29">
        <v>0</v>
      </c>
      <c r="T21" s="29">
        <v>0</v>
      </c>
      <c r="U21" s="29">
        <v>0</v>
      </c>
      <c r="V21" s="32">
        <v>0</v>
      </c>
      <c r="W21" s="12">
        <v>260</v>
      </c>
      <c r="X21" s="12">
        <v>1740</v>
      </c>
      <c r="Y21" s="29">
        <v>106.64999999999999</v>
      </c>
      <c r="Z21" s="12">
        <v>106.64999999999999</v>
      </c>
    </row>
    <row r="22" spans="1:26" x14ac:dyDescent="0.3">
      <c r="A22" s="25">
        <v>21</v>
      </c>
      <c r="B22">
        <v>4</v>
      </c>
      <c r="C22">
        <v>2016</v>
      </c>
      <c r="D22" s="9">
        <v>44575024</v>
      </c>
      <c r="E22" s="25" t="s">
        <v>105</v>
      </c>
      <c r="F22" s="25" t="s">
        <v>137</v>
      </c>
      <c r="G22" s="3" t="s">
        <v>106</v>
      </c>
      <c r="H22" s="26" t="s">
        <v>69</v>
      </c>
      <c r="I22" s="3" t="s">
        <v>107</v>
      </c>
      <c r="J22" s="27"/>
      <c r="K22" s="28">
        <v>1500</v>
      </c>
      <c r="L22" s="11"/>
      <c r="M22" s="11"/>
      <c r="N22" s="11"/>
      <c r="O22" s="30">
        <v>1500</v>
      </c>
      <c r="P22" s="10" t="s">
        <v>118</v>
      </c>
      <c r="Q22" s="11">
        <v>0</v>
      </c>
      <c r="R22" s="10" t="s">
        <v>63</v>
      </c>
      <c r="S22" s="29">
        <v>150</v>
      </c>
      <c r="T22" s="29">
        <v>22.05</v>
      </c>
      <c r="U22" s="29">
        <v>19.95</v>
      </c>
      <c r="V22" s="32">
        <v>0</v>
      </c>
      <c r="W22" s="12">
        <v>192</v>
      </c>
      <c r="X22" s="12">
        <v>1308</v>
      </c>
      <c r="Y22" s="29">
        <v>106.64999999999999</v>
      </c>
      <c r="Z22" s="12">
        <v>106.64999999999999</v>
      </c>
    </row>
    <row r="23" spans="1:26" x14ac:dyDescent="0.3">
      <c r="A23" s="25">
        <v>22</v>
      </c>
      <c r="B23">
        <v>4</v>
      </c>
      <c r="C23">
        <v>2016</v>
      </c>
      <c r="D23" s="9">
        <v>21555719</v>
      </c>
      <c r="E23" s="25" t="s">
        <v>108</v>
      </c>
      <c r="F23" s="25" t="s">
        <v>138</v>
      </c>
      <c r="G23" s="3" t="s">
        <v>109</v>
      </c>
      <c r="H23" s="26" t="s">
        <v>69</v>
      </c>
      <c r="I23" s="3" t="s">
        <v>110</v>
      </c>
      <c r="J23" s="27"/>
      <c r="K23" s="28">
        <v>2000</v>
      </c>
      <c r="L23" s="11"/>
      <c r="M23" s="11"/>
      <c r="N23" s="11">
        <v>133</v>
      </c>
      <c r="O23" s="30">
        <v>1867</v>
      </c>
      <c r="P23" s="10" t="s">
        <v>118</v>
      </c>
      <c r="Q23" s="11">
        <v>0</v>
      </c>
      <c r="R23" s="10" t="s">
        <v>20</v>
      </c>
      <c r="S23" s="29">
        <v>186.70000000000002</v>
      </c>
      <c r="T23" s="29">
        <v>28.938500000000001</v>
      </c>
      <c r="U23" s="29">
        <v>24.831099999999999</v>
      </c>
      <c r="V23" s="32">
        <v>0</v>
      </c>
      <c r="W23" s="12">
        <v>240.46960000000001</v>
      </c>
      <c r="X23" s="12">
        <v>1626.5304000000001</v>
      </c>
      <c r="Y23" s="29">
        <v>106.64999999999999</v>
      </c>
      <c r="Z23" s="12">
        <v>106.64999999999999</v>
      </c>
    </row>
    <row r="24" spans="1:26" x14ac:dyDescent="0.3">
      <c r="A24" s="25">
        <v>23</v>
      </c>
      <c r="B24">
        <v>4</v>
      </c>
      <c r="C24">
        <v>2016</v>
      </c>
      <c r="D24" s="9">
        <v>44450778</v>
      </c>
      <c r="E24" s="25">
        <v>0</v>
      </c>
      <c r="F24" s="25">
        <v>0</v>
      </c>
      <c r="G24" s="3" t="s">
        <v>149</v>
      </c>
      <c r="H24" s="26" t="s">
        <v>69</v>
      </c>
      <c r="I24" s="3" t="s">
        <v>99</v>
      </c>
      <c r="J24" s="27"/>
      <c r="K24" s="28">
        <v>268</v>
      </c>
      <c r="L24" s="11"/>
      <c r="M24" s="11"/>
      <c r="N24" s="11"/>
      <c r="O24" s="30">
        <v>268</v>
      </c>
      <c r="P24" s="10" t="s">
        <v>29</v>
      </c>
      <c r="Q24" s="11">
        <v>34.840000000000003</v>
      </c>
      <c r="R24" s="10"/>
      <c r="S24" s="29">
        <v>0</v>
      </c>
      <c r="T24" s="29">
        <v>0</v>
      </c>
      <c r="U24" s="29">
        <v>0</v>
      </c>
      <c r="V24" s="32">
        <v>0</v>
      </c>
      <c r="W24" s="12">
        <v>34.840000000000003</v>
      </c>
      <c r="X24" s="12">
        <v>233.16</v>
      </c>
      <c r="Y24" s="29">
        <v>106.64999999999999</v>
      </c>
      <c r="Z24" s="12">
        <v>106.64999999999999</v>
      </c>
    </row>
    <row r="25" spans="1:26" x14ac:dyDescent="0.3">
      <c r="A25" s="25">
        <v>24</v>
      </c>
      <c r="B25">
        <v>4</v>
      </c>
      <c r="C25">
        <v>2016</v>
      </c>
      <c r="D25" s="9">
        <v>21879712</v>
      </c>
      <c r="E25" s="25">
        <v>0</v>
      </c>
      <c r="F25" s="25">
        <v>0</v>
      </c>
      <c r="G25" s="3" t="s">
        <v>143</v>
      </c>
      <c r="H25" s="26" t="s">
        <v>150</v>
      </c>
      <c r="I25" s="3" t="s">
        <v>99</v>
      </c>
      <c r="J25" s="27"/>
      <c r="K25" s="28">
        <v>1200</v>
      </c>
      <c r="L25" s="11"/>
      <c r="M25" s="11"/>
      <c r="N25" s="11"/>
      <c r="O25" s="30">
        <v>1200</v>
      </c>
      <c r="P25" s="10" t="s">
        <v>29</v>
      </c>
      <c r="Q25" s="11">
        <v>156</v>
      </c>
      <c r="R25" s="10"/>
      <c r="S25" s="29">
        <v>0</v>
      </c>
      <c r="T25" s="29">
        <v>0</v>
      </c>
      <c r="U25" s="29">
        <v>0</v>
      </c>
      <c r="V25" s="32">
        <v>0</v>
      </c>
      <c r="W25" s="12">
        <v>156</v>
      </c>
      <c r="X25" s="12">
        <v>1044</v>
      </c>
      <c r="Y25" s="29">
        <v>106.64999999999999</v>
      </c>
      <c r="Z25" s="12">
        <v>106.64999999999999</v>
      </c>
    </row>
    <row r="26" spans="1:26" x14ac:dyDescent="0.3">
      <c r="A26" s="25">
        <v>25</v>
      </c>
      <c r="B26">
        <v>4</v>
      </c>
      <c r="C26">
        <v>2016</v>
      </c>
      <c r="D26" s="9">
        <v>43987894</v>
      </c>
      <c r="E26" s="25" t="s">
        <v>111</v>
      </c>
      <c r="F26" s="25" t="s">
        <v>139</v>
      </c>
      <c r="G26" s="3" t="s">
        <v>112</v>
      </c>
      <c r="H26" s="26" t="s">
        <v>69</v>
      </c>
      <c r="I26" s="3" t="s">
        <v>110</v>
      </c>
      <c r="J26" s="27"/>
      <c r="K26" s="28">
        <v>2000</v>
      </c>
      <c r="L26" s="11"/>
      <c r="M26" s="11"/>
      <c r="N26" s="11">
        <v>600</v>
      </c>
      <c r="O26" s="30">
        <v>1400</v>
      </c>
      <c r="P26" s="10" t="s">
        <v>118</v>
      </c>
      <c r="Q26" s="11">
        <v>0</v>
      </c>
      <c r="R26" s="10" t="s">
        <v>20</v>
      </c>
      <c r="S26" s="29">
        <v>140</v>
      </c>
      <c r="T26" s="29">
        <v>21.7</v>
      </c>
      <c r="U26" s="29">
        <v>18.619999999999997</v>
      </c>
      <c r="V26" s="32">
        <v>0</v>
      </c>
      <c r="W26" s="12">
        <v>180.32</v>
      </c>
      <c r="X26" s="12">
        <v>1219.68</v>
      </c>
      <c r="Y26" s="29">
        <v>106.64999999999999</v>
      </c>
      <c r="Z26" s="12">
        <v>106.64999999999999</v>
      </c>
    </row>
  </sheetData>
  <dataConsolidate/>
  <dataValidations count="3">
    <dataValidation type="list" allowBlank="1" showInputMessage="1" showErrorMessage="1" sqref="P2:P26" xr:uid="{00000000-0002-0000-0200-000000000000}">
      <formula1>"SNP,AFP"</formula1>
    </dataValidation>
    <dataValidation type="list" allowBlank="1" showInputMessage="1" showErrorMessage="1" sqref="R2:R26" xr:uid="{00000000-0002-0000-0200-000001000000}">
      <formula1>".,PRIMA,HABITAD,INTEGRA,PROFUTURO,PRIMA-MIXTA,HABITAD-MIXTA,INTEGRA-MIXTA,PROFUTURO-MIXTA"</formula1>
    </dataValidation>
    <dataValidation type="list" allowBlank="1" showInputMessage="1" showErrorMessage="1" sqref="J2:J32" xr:uid="{00000000-0002-0000-0200-000002000000}">
      <formula1>"SI,NO"</formula1>
    </dataValidation>
  </dataValidations>
  <printOptions horizontalCentered="1" verticalCentered="1"/>
  <pageMargins left="0" right="0" top="0" bottom="1.5748031496062993" header="0" footer="0"/>
  <pageSetup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B2:AP276"/>
  <sheetViews>
    <sheetView topLeftCell="A13" zoomScale="80" zoomScaleNormal="80" workbookViewId="0">
      <selection activeCell="C17" sqref="C17:F17"/>
    </sheetView>
  </sheetViews>
  <sheetFormatPr baseColWidth="10" defaultColWidth="11.44140625" defaultRowHeight="14.4" x14ac:dyDescent="0.3"/>
  <cols>
    <col min="1" max="1" width="4.109375" style="1" customWidth="1"/>
    <col min="2" max="2" width="9.88671875" style="1" customWidth="1"/>
    <col min="3" max="3" width="21.33203125" style="1" bestFit="1" customWidth="1"/>
    <col min="4" max="5" width="11.44140625" style="1"/>
    <col min="6" max="6" width="4.6640625" style="1" customWidth="1"/>
    <col min="7" max="7" width="22" style="1" customWidth="1"/>
    <col min="8" max="8" width="11.88671875" style="1" customWidth="1"/>
    <col min="9" max="9" width="13" style="1" bestFit="1" customWidth="1"/>
    <col min="10" max="10" width="3.6640625" style="1" customWidth="1"/>
    <col min="11" max="11" width="11.44140625" style="1"/>
    <col min="12" max="12" width="3.44140625" style="1" customWidth="1"/>
    <col min="13" max="42" width="11.44140625" style="16"/>
    <col min="43" max="16384" width="11.44140625" style="1"/>
  </cols>
  <sheetData>
    <row r="2" spans="2:9" ht="27.6" x14ac:dyDescent="0.3">
      <c r="B2" s="24" t="s">
        <v>58</v>
      </c>
      <c r="C2" s="17">
        <v>25</v>
      </c>
    </row>
    <row r="4" spans="2:9" ht="15.6" x14ac:dyDescent="0.3">
      <c r="B4" s="63" t="str">
        <f>CONCATENATE(BDPLANILLA!$A$3,"   ",BDPLANILLA!$B$3)</f>
        <v>RUC:   20452265495</v>
      </c>
      <c r="C4" s="64"/>
      <c r="D4" s="64"/>
      <c r="E4" s="64"/>
      <c r="F4" s="64"/>
      <c r="G4" s="64"/>
      <c r="H4" s="64"/>
      <c r="I4" s="65"/>
    </row>
    <row r="5" spans="2:9" ht="15.6" x14ac:dyDescent="0.3">
      <c r="B5" s="66" t="str">
        <f>CONCATENATE("EMPLEADOR:","   ",BDPLANILLA!$B$2)</f>
        <v>EMPLEADOR:   UE 1640 UGEL HUAYTARA</v>
      </c>
      <c r="C5" s="67"/>
      <c r="D5" s="67"/>
      <c r="E5" s="67"/>
      <c r="F5" s="67"/>
      <c r="G5" s="67"/>
      <c r="H5" s="67"/>
      <c r="I5" s="68"/>
    </row>
    <row r="6" spans="2:9" ht="15.6" x14ac:dyDescent="0.3">
      <c r="B6" s="69" t="str">
        <f>CONCATENATE(BDPLANILLA!$A$4,"  ",BDPLANILLA!$B$4," - ",BDPLANILLA!$C$4)</f>
        <v>PERIODO:  ABRIL - 2016</v>
      </c>
      <c r="C6" s="70"/>
      <c r="D6" s="70"/>
      <c r="E6" s="70"/>
      <c r="F6" s="70"/>
      <c r="G6" s="70"/>
      <c r="H6" s="70"/>
      <c r="I6" s="71"/>
    </row>
    <row r="8" spans="2:9" x14ac:dyDescent="0.3">
      <c r="B8" s="72" t="s">
        <v>30</v>
      </c>
      <c r="C8" s="72"/>
      <c r="D8" s="73" t="s">
        <v>31</v>
      </c>
      <c r="E8" s="73"/>
      <c r="F8" s="73"/>
      <c r="G8" s="73"/>
      <c r="H8" s="73" t="s">
        <v>32</v>
      </c>
      <c r="I8" s="73"/>
    </row>
    <row r="9" spans="2:9" ht="15.6" x14ac:dyDescent="0.3">
      <c r="B9" s="52" t="s">
        <v>33</v>
      </c>
      <c r="C9" s="52" t="s">
        <v>34</v>
      </c>
      <c r="D9" s="73"/>
      <c r="E9" s="73"/>
      <c r="F9" s="73"/>
      <c r="G9" s="73"/>
      <c r="H9" s="73"/>
      <c r="I9" s="73"/>
    </row>
    <row r="10" spans="2:9" ht="15.6" x14ac:dyDescent="0.3">
      <c r="B10" s="18" t="s">
        <v>26</v>
      </c>
      <c r="C10" s="19" t="e">
        <f>IF($C$2&lt;&gt;"",VLOOKUP($C$2,BDPLANILLA,2,FALSE)," ")</f>
        <v>#N/A</v>
      </c>
      <c r="D10" s="76" t="e">
        <f>IF($C$2&lt;&gt;"",VLOOKUP($C$2,BDPLANILLA,5,FALSE)," ")</f>
        <v>#N/A</v>
      </c>
      <c r="E10" s="76"/>
      <c r="F10" s="76"/>
      <c r="G10" s="76"/>
      <c r="H10" s="76" t="s">
        <v>35</v>
      </c>
      <c r="I10" s="78"/>
    </row>
    <row r="11" spans="2:9" ht="15.6" x14ac:dyDescent="0.3">
      <c r="B11" s="73" t="s">
        <v>36</v>
      </c>
      <c r="C11" s="73"/>
      <c r="D11" s="73" t="s">
        <v>57</v>
      </c>
      <c r="E11" s="73"/>
      <c r="F11" s="73" t="s">
        <v>37</v>
      </c>
      <c r="G11" s="73"/>
      <c r="H11" s="73" t="s">
        <v>38</v>
      </c>
      <c r="I11" s="73"/>
    </row>
    <row r="12" spans="2:9" ht="15.6" x14ac:dyDescent="0.3">
      <c r="B12" s="74" t="e">
        <f>IF($C$2&lt;&gt;"",VLOOKUP($C$2,BDPLANILLA,6,FALSE)," ")</f>
        <v>#N/A</v>
      </c>
      <c r="C12" s="75"/>
      <c r="D12" s="76" t="e">
        <f>IF($C$2&lt;&gt;"",VLOOKUP($C$2,BDPLANILLA,7,FALSE)," ")</f>
        <v>#N/A</v>
      </c>
      <c r="E12" s="76"/>
      <c r="F12" s="77" t="e">
        <f>IF($C$2&lt;&gt;"",VLOOKUP($C$2,BDPLANILLA,14,FALSE) &amp; "  " &amp; VLOOKUP($C$2,BDPLANILLA,16,FALSE)," ")</f>
        <v>#N/A</v>
      </c>
      <c r="G12" s="76"/>
      <c r="H12" s="76" t="e">
        <f>IF($C$2&lt;&gt;"",VLOOKUP($C$2,BDPLANILLA,3,FALSE)," ")</f>
        <v>#N/A</v>
      </c>
      <c r="I12" s="78"/>
    </row>
    <row r="14" spans="2:9" ht="30" customHeight="1" x14ac:dyDescent="0.3">
      <c r="B14" s="53" t="s">
        <v>40</v>
      </c>
      <c r="C14" s="79" t="s">
        <v>41</v>
      </c>
      <c r="D14" s="79"/>
      <c r="E14" s="79"/>
      <c r="F14" s="79"/>
      <c r="G14" s="53" t="s">
        <v>42</v>
      </c>
      <c r="H14" s="53" t="s">
        <v>43</v>
      </c>
      <c r="I14" s="53" t="s">
        <v>44</v>
      </c>
    </row>
    <row r="15" spans="2:9" x14ac:dyDescent="0.3">
      <c r="B15" s="80" t="s">
        <v>45</v>
      </c>
      <c r="C15" s="81"/>
      <c r="D15" s="81"/>
      <c r="E15" s="81"/>
      <c r="F15" s="81"/>
      <c r="G15" s="81"/>
      <c r="H15" s="81"/>
      <c r="I15" s="54"/>
    </row>
    <row r="16" spans="2:9" ht="15.6" x14ac:dyDescent="0.3">
      <c r="B16" s="18"/>
      <c r="C16" s="62" t="s">
        <v>46</v>
      </c>
      <c r="D16" s="62"/>
      <c r="E16" s="62"/>
      <c r="F16" s="62"/>
      <c r="G16" s="20" t="e">
        <f>IF($C$2&lt;&gt;"",VLOOKUP($C$2,BDPLANILLA,9,FALSE)," ")</f>
        <v>#N/A</v>
      </c>
      <c r="H16" s="21"/>
      <c r="I16" s="22"/>
    </row>
    <row r="17" spans="2:9" ht="15.6" x14ac:dyDescent="0.3">
      <c r="B17" s="18"/>
      <c r="C17" s="62" t="s">
        <v>56</v>
      </c>
      <c r="D17" s="62"/>
      <c r="E17" s="62"/>
      <c r="F17" s="62"/>
      <c r="G17" s="20" t="e">
        <f>IF($C$2&lt;&gt;"",VLOOKUP($C$2,BDPLANILLA,10,FALSE)," ")</f>
        <v>#N/A</v>
      </c>
      <c r="H17" s="21"/>
      <c r="I17" s="22"/>
    </row>
    <row r="18" spans="2:9" ht="15.6" x14ac:dyDescent="0.3">
      <c r="B18" s="18"/>
      <c r="C18" s="21" t="s">
        <v>146</v>
      </c>
      <c r="D18" s="21"/>
      <c r="E18" s="21"/>
      <c r="F18" s="21"/>
      <c r="G18" s="20" t="e">
        <f>IF($C$2&lt;&gt;"",VLOOKUP($C$2,BDPLANILLA,11,FALSE)," ")</f>
        <v>#N/A</v>
      </c>
      <c r="H18" s="21"/>
      <c r="I18" s="22"/>
    </row>
    <row r="19" spans="2:9" x14ac:dyDescent="0.3">
      <c r="B19" s="82" t="s">
        <v>47</v>
      </c>
      <c r="C19" s="60"/>
      <c r="D19" s="60"/>
      <c r="E19" s="60"/>
      <c r="F19" s="60"/>
      <c r="G19" s="60"/>
      <c r="H19" s="60"/>
      <c r="I19" s="55"/>
    </row>
    <row r="20" spans="2:9" ht="15.6" x14ac:dyDescent="0.3">
      <c r="B20" s="18"/>
      <c r="C20" s="62" t="s">
        <v>66</v>
      </c>
      <c r="D20" s="62"/>
      <c r="E20" s="62"/>
      <c r="F20" s="62"/>
      <c r="G20" s="21"/>
      <c r="H20" s="20" t="e">
        <f>IF($C$2&lt;&gt;"",VLOOKUP($C$2,BDPLANILLA,20,FALSE)," ")</f>
        <v>#N/A</v>
      </c>
      <c r="I20" s="22" t="s">
        <v>39</v>
      </c>
    </row>
    <row r="21" spans="2:9" ht="15.6" x14ac:dyDescent="0.3">
      <c r="B21" s="18"/>
      <c r="C21" s="62" t="s">
        <v>48</v>
      </c>
      <c r="D21" s="62"/>
      <c r="E21" s="62"/>
      <c r="F21" s="62"/>
      <c r="G21" s="21"/>
      <c r="H21" s="20" t="e">
        <f>IF($C$2&lt;&gt;"",VLOOKUP($C$2,BDPLANILLA,15,FALSE)," ")</f>
        <v>#N/A</v>
      </c>
      <c r="I21" s="22" t="s">
        <v>39</v>
      </c>
    </row>
    <row r="22" spans="2:9" ht="15.6" x14ac:dyDescent="0.3">
      <c r="B22" s="18"/>
      <c r="C22" s="62" t="s">
        <v>49</v>
      </c>
      <c r="D22" s="62"/>
      <c r="E22" s="62"/>
      <c r="F22" s="62"/>
      <c r="G22" s="21"/>
      <c r="H22" s="20" t="e">
        <f>IF($C$2&lt;&gt;"",VLOOKUP($C$2,BDPLANILLA,18,FALSE)," ")</f>
        <v>#N/A</v>
      </c>
      <c r="I22" s="22"/>
    </row>
    <row r="23" spans="2:9" ht="15.6" x14ac:dyDescent="0.3">
      <c r="B23" s="18"/>
      <c r="C23" s="62" t="s">
        <v>50</v>
      </c>
      <c r="D23" s="62"/>
      <c r="E23" s="62"/>
      <c r="F23" s="62"/>
      <c r="G23" s="21"/>
      <c r="H23" s="20" t="e">
        <f>IF($C$2&lt;&gt;"",VLOOKUP($C$2,BDPLANILLA,19,FALSE)," ")</f>
        <v>#N/A</v>
      </c>
      <c r="I23" s="22"/>
    </row>
    <row r="24" spans="2:9" ht="15.6" x14ac:dyDescent="0.3">
      <c r="B24" s="18"/>
      <c r="C24" s="62" t="s">
        <v>51</v>
      </c>
      <c r="D24" s="62"/>
      <c r="E24" s="62"/>
      <c r="F24" s="62"/>
      <c r="G24" s="21"/>
      <c r="H24" s="20" t="e">
        <f>IF($C$2&lt;&gt;"",VLOOKUP($C$2,BDPLANILLA,17,FALSE)," ")</f>
        <v>#N/A</v>
      </c>
      <c r="I24" s="22"/>
    </row>
    <row r="25" spans="2:9" ht="15.6" x14ac:dyDescent="0.3">
      <c r="B25" s="18"/>
      <c r="C25" s="21" t="s">
        <v>147</v>
      </c>
      <c r="D25" s="21"/>
      <c r="E25" s="21"/>
      <c r="F25" s="21"/>
      <c r="G25" s="21"/>
      <c r="H25" s="20" t="e">
        <f>IF($C$2&lt;&gt;"",VLOOKUP($C$2,BDPLANILLA,12,FALSE)," ")</f>
        <v>#N/A</v>
      </c>
      <c r="I25" s="22"/>
    </row>
    <row r="26" spans="2:9" x14ac:dyDescent="0.3">
      <c r="B26" s="82" t="s">
        <v>52</v>
      </c>
      <c r="C26" s="60"/>
      <c r="D26" s="60"/>
      <c r="E26" s="60"/>
      <c r="F26" s="60"/>
      <c r="G26" s="60"/>
      <c r="H26" s="60"/>
      <c r="I26" s="56" t="e">
        <f>IF($C$2&lt;&gt;"",VLOOKUP($C$2,BDPLANILLA,22,FALSE)," ")</f>
        <v>#N/A</v>
      </c>
    </row>
    <row r="27" spans="2:9" x14ac:dyDescent="0.3">
      <c r="B27" s="83"/>
      <c r="C27" s="83"/>
      <c r="D27" s="83"/>
      <c r="E27" s="83"/>
      <c r="F27" s="83"/>
      <c r="G27" s="83"/>
      <c r="H27" s="83"/>
      <c r="I27" s="83"/>
    </row>
    <row r="28" spans="2:9" x14ac:dyDescent="0.3">
      <c r="B28" s="82" t="s">
        <v>53</v>
      </c>
      <c r="C28" s="60"/>
      <c r="D28" s="60"/>
      <c r="E28" s="60"/>
      <c r="F28" s="60"/>
      <c r="G28" s="60"/>
      <c r="H28" s="60"/>
      <c r="I28" s="61"/>
    </row>
    <row r="29" spans="2:9" ht="15.6" x14ac:dyDescent="0.3">
      <c r="B29" s="18"/>
      <c r="C29" s="62" t="s">
        <v>54</v>
      </c>
      <c r="D29" s="62"/>
      <c r="E29" s="62"/>
      <c r="F29" s="62"/>
      <c r="G29" s="21"/>
      <c r="H29" s="21"/>
      <c r="I29" s="23" t="e">
        <f>IF($C$2&lt;&gt;"",VLOOKUP($C$2,BDPLANILLA,23,FALSE)," ")</f>
        <v>#N/A</v>
      </c>
    </row>
    <row r="30" spans="2:9" x14ac:dyDescent="0.3">
      <c r="B30" s="59" t="s">
        <v>67</v>
      </c>
      <c r="C30" s="60"/>
      <c r="D30" s="60"/>
      <c r="E30" s="60"/>
      <c r="F30" s="60"/>
      <c r="G30" s="60"/>
      <c r="H30" s="60"/>
      <c r="I30" s="61"/>
    </row>
    <row r="31" spans="2:9" ht="15.6" x14ac:dyDescent="0.3">
      <c r="B31" s="18"/>
      <c r="C31" s="62" t="s">
        <v>65</v>
      </c>
      <c r="D31" s="62"/>
      <c r="E31" s="62"/>
      <c r="F31" s="62"/>
      <c r="G31" s="21"/>
      <c r="H31" s="21"/>
      <c r="I31" s="31" t="e">
        <f>IF($C$2&lt;&gt;"",VLOOKUP($C$2,BDPLANILLA,4,FALSE)," ")</f>
        <v>#N/A</v>
      </c>
    </row>
    <row r="32" spans="2:9" s="16" customFormat="1" x14ac:dyDescent="0.3"/>
    <row r="33" s="16" customFormat="1" x14ac:dyDescent="0.3"/>
    <row r="34" s="16" customFormat="1" x14ac:dyDescent="0.3"/>
    <row r="35" s="16" customFormat="1" x14ac:dyDescent="0.3"/>
    <row r="36" s="16" customFormat="1" x14ac:dyDescent="0.3"/>
    <row r="37" s="16" customFormat="1" x14ac:dyDescent="0.3"/>
    <row r="38" s="16" customFormat="1" x14ac:dyDescent="0.3"/>
    <row r="39" s="16" customFormat="1" x14ac:dyDescent="0.3"/>
    <row r="40" s="16" customFormat="1" x14ac:dyDescent="0.3"/>
    <row r="41" s="16" customFormat="1" x14ac:dyDescent="0.3"/>
    <row r="42" s="16" customFormat="1" x14ac:dyDescent="0.3"/>
    <row r="43" s="16" customFormat="1" x14ac:dyDescent="0.3"/>
    <row r="44" s="16" customFormat="1" x14ac:dyDescent="0.3"/>
    <row r="45" s="16" customFormat="1" x14ac:dyDescent="0.3"/>
    <row r="46" s="16" customFormat="1" x14ac:dyDescent="0.3"/>
    <row r="47" s="16" customFormat="1" x14ac:dyDescent="0.3"/>
    <row r="48" s="16" customFormat="1" x14ac:dyDescent="0.3"/>
    <row r="49" s="16" customFormat="1" x14ac:dyDescent="0.3"/>
    <row r="50" s="16" customFormat="1" x14ac:dyDescent="0.3"/>
    <row r="51" s="16" customFormat="1" x14ac:dyDescent="0.3"/>
    <row r="52" s="16" customFormat="1" x14ac:dyDescent="0.3"/>
    <row r="53" s="16" customFormat="1" x14ac:dyDescent="0.3"/>
    <row r="54" s="16" customFormat="1" x14ac:dyDescent="0.3"/>
    <row r="55" s="16" customFormat="1" x14ac:dyDescent="0.3"/>
    <row r="56" s="16" customFormat="1" x14ac:dyDescent="0.3"/>
    <row r="57" s="16" customFormat="1" x14ac:dyDescent="0.3"/>
    <row r="58" s="16" customFormat="1" x14ac:dyDescent="0.3"/>
    <row r="59" s="16" customFormat="1" x14ac:dyDescent="0.3"/>
    <row r="60" s="16" customFormat="1" x14ac:dyDescent="0.3"/>
    <row r="61" s="16" customFormat="1" x14ac:dyDescent="0.3"/>
    <row r="62" s="16" customFormat="1" x14ac:dyDescent="0.3"/>
    <row r="63" s="16" customFormat="1" x14ac:dyDescent="0.3"/>
    <row r="64" s="16" customFormat="1" x14ac:dyDescent="0.3"/>
    <row r="65" s="16" customFormat="1" x14ac:dyDescent="0.3"/>
    <row r="66" s="16" customFormat="1" x14ac:dyDescent="0.3"/>
    <row r="67" s="16" customFormat="1" x14ac:dyDescent="0.3"/>
    <row r="68" s="16" customFormat="1" x14ac:dyDescent="0.3"/>
    <row r="69" s="16" customFormat="1" x14ac:dyDescent="0.3"/>
    <row r="70" s="16" customFormat="1" x14ac:dyDescent="0.3"/>
    <row r="71" s="16" customFormat="1" x14ac:dyDescent="0.3"/>
    <row r="72" s="16" customFormat="1" x14ac:dyDescent="0.3"/>
    <row r="73" s="16" customFormat="1" x14ac:dyDescent="0.3"/>
    <row r="74" s="16" customFormat="1" x14ac:dyDescent="0.3"/>
    <row r="75" s="16" customFormat="1" x14ac:dyDescent="0.3"/>
    <row r="76" s="16" customFormat="1" x14ac:dyDescent="0.3"/>
    <row r="77" s="16" customFormat="1" x14ac:dyDescent="0.3"/>
    <row r="78" s="16" customFormat="1" x14ac:dyDescent="0.3"/>
    <row r="79" s="16" customFormat="1" x14ac:dyDescent="0.3"/>
    <row r="80" s="16" customFormat="1" x14ac:dyDescent="0.3"/>
    <row r="81" s="16" customFormat="1" x14ac:dyDescent="0.3"/>
    <row r="82" s="16" customFormat="1" x14ac:dyDescent="0.3"/>
    <row r="83" s="16" customFormat="1" x14ac:dyDescent="0.3"/>
    <row r="84" s="16" customFormat="1" x14ac:dyDescent="0.3"/>
    <row r="85" s="16" customFormat="1" x14ac:dyDescent="0.3"/>
    <row r="86" s="16" customFormat="1" x14ac:dyDescent="0.3"/>
    <row r="87" s="16" customFormat="1" x14ac:dyDescent="0.3"/>
    <row r="88" s="16" customFormat="1" x14ac:dyDescent="0.3"/>
    <row r="89" s="16" customFormat="1" x14ac:dyDescent="0.3"/>
    <row r="90" s="16" customFormat="1" x14ac:dyDescent="0.3"/>
    <row r="91" s="16" customFormat="1" x14ac:dyDescent="0.3"/>
    <row r="92" s="16" customFormat="1" x14ac:dyDescent="0.3"/>
    <row r="93" s="16" customFormat="1" x14ac:dyDescent="0.3"/>
    <row r="94" s="16" customFormat="1" x14ac:dyDescent="0.3"/>
    <row r="95" s="16" customFormat="1" x14ac:dyDescent="0.3"/>
    <row r="96" s="16" customFormat="1" x14ac:dyDescent="0.3"/>
    <row r="97" s="16" customFormat="1" x14ac:dyDescent="0.3"/>
    <row r="98" s="16" customFormat="1" x14ac:dyDescent="0.3"/>
    <row r="99" s="16" customFormat="1" x14ac:dyDescent="0.3"/>
    <row r="100" s="16" customFormat="1" x14ac:dyDescent="0.3"/>
    <row r="101" s="16" customFormat="1" x14ac:dyDescent="0.3"/>
    <row r="102" s="16" customFormat="1" x14ac:dyDescent="0.3"/>
    <row r="103" s="16" customFormat="1" x14ac:dyDescent="0.3"/>
    <row r="104" s="16" customFormat="1" x14ac:dyDescent="0.3"/>
    <row r="105" s="16" customFormat="1" x14ac:dyDescent="0.3"/>
    <row r="106" s="16" customFormat="1" x14ac:dyDescent="0.3"/>
    <row r="107" s="16" customFormat="1" x14ac:dyDescent="0.3"/>
    <row r="108" s="16" customFormat="1" x14ac:dyDescent="0.3"/>
    <row r="109" s="16" customFormat="1" x14ac:dyDescent="0.3"/>
    <row r="110" s="16" customFormat="1" x14ac:dyDescent="0.3"/>
    <row r="111" s="16" customFormat="1" x14ac:dyDescent="0.3"/>
    <row r="112" s="16" customFormat="1" x14ac:dyDescent="0.3"/>
    <row r="113" s="16" customFormat="1" x14ac:dyDescent="0.3"/>
    <row r="114" s="16" customFormat="1" x14ac:dyDescent="0.3"/>
    <row r="115" s="16" customFormat="1" x14ac:dyDescent="0.3"/>
    <row r="116" s="16" customFormat="1" x14ac:dyDescent="0.3"/>
    <row r="117" s="16" customFormat="1" x14ac:dyDescent="0.3"/>
    <row r="118" s="16" customFormat="1" x14ac:dyDescent="0.3"/>
    <row r="119" s="16" customFormat="1" x14ac:dyDescent="0.3"/>
    <row r="120" s="16" customFormat="1" x14ac:dyDescent="0.3"/>
    <row r="121" s="16" customFormat="1" x14ac:dyDescent="0.3"/>
    <row r="122" s="16" customFormat="1" x14ac:dyDescent="0.3"/>
    <row r="123" s="16" customFormat="1" x14ac:dyDescent="0.3"/>
    <row r="124" s="16" customFormat="1" x14ac:dyDescent="0.3"/>
    <row r="125" s="16" customFormat="1" x14ac:dyDescent="0.3"/>
    <row r="126" s="16" customFormat="1" x14ac:dyDescent="0.3"/>
    <row r="127" s="16" customFormat="1" x14ac:dyDescent="0.3"/>
    <row r="128" s="16" customFormat="1" x14ac:dyDescent="0.3"/>
    <row r="129" s="16" customFormat="1" x14ac:dyDescent="0.3"/>
    <row r="130" s="16" customFormat="1" x14ac:dyDescent="0.3"/>
    <row r="131" s="16" customFormat="1" x14ac:dyDescent="0.3"/>
    <row r="132" s="16" customFormat="1" x14ac:dyDescent="0.3"/>
    <row r="133" s="16" customFormat="1" x14ac:dyDescent="0.3"/>
    <row r="134" s="16" customFormat="1" x14ac:dyDescent="0.3"/>
    <row r="135" s="16" customFormat="1" x14ac:dyDescent="0.3"/>
    <row r="136" s="16" customFormat="1" x14ac:dyDescent="0.3"/>
    <row r="137" s="16" customFormat="1" x14ac:dyDescent="0.3"/>
    <row r="138" s="16" customFormat="1" x14ac:dyDescent="0.3"/>
    <row r="139" s="16" customFormat="1" x14ac:dyDescent="0.3"/>
    <row r="140" s="16" customFormat="1" x14ac:dyDescent="0.3"/>
    <row r="141" s="16" customFormat="1" x14ac:dyDescent="0.3"/>
    <row r="142" s="16" customFormat="1" x14ac:dyDescent="0.3"/>
    <row r="143" s="16" customFormat="1" x14ac:dyDescent="0.3"/>
    <row r="144" s="16" customFormat="1" x14ac:dyDescent="0.3"/>
    <row r="145" s="16" customFormat="1" x14ac:dyDescent="0.3"/>
    <row r="146" s="16" customFormat="1" x14ac:dyDescent="0.3"/>
    <row r="147" s="16" customFormat="1" x14ac:dyDescent="0.3"/>
    <row r="148" s="16" customFormat="1" x14ac:dyDescent="0.3"/>
    <row r="149" s="16" customFormat="1" x14ac:dyDescent="0.3"/>
    <row r="150" s="16" customFormat="1" x14ac:dyDescent="0.3"/>
    <row r="151" s="16" customFormat="1" x14ac:dyDescent="0.3"/>
    <row r="152" s="16" customFormat="1" x14ac:dyDescent="0.3"/>
    <row r="153" s="16" customFormat="1" x14ac:dyDescent="0.3"/>
    <row r="154" s="16" customFormat="1" x14ac:dyDescent="0.3"/>
    <row r="155" s="16" customFormat="1" x14ac:dyDescent="0.3"/>
    <row r="156" s="16" customFormat="1" x14ac:dyDescent="0.3"/>
    <row r="157" s="16" customFormat="1" x14ac:dyDescent="0.3"/>
    <row r="158" s="16" customFormat="1" x14ac:dyDescent="0.3"/>
    <row r="159" s="16" customFormat="1" x14ac:dyDescent="0.3"/>
    <row r="160" s="16" customFormat="1" x14ac:dyDescent="0.3"/>
    <row r="161" s="16" customFormat="1" x14ac:dyDescent="0.3"/>
    <row r="162" s="16" customFormat="1" x14ac:dyDescent="0.3"/>
    <row r="163" s="16" customFormat="1" x14ac:dyDescent="0.3"/>
    <row r="164" s="16" customFormat="1" x14ac:dyDescent="0.3"/>
    <row r="165" s="16" customFormat="1" x14ac:dyDescent="0.3"/>
    <row r="166" s="16" customFormat="1" x14ac:dyDescent="0.3"/>
    <row r="167" s="16" customFormat="1" x14ac:dyDescent="0.3"/>
    <row r="168" s="16" customFormat="1" x14ac:dyDescent="0.3"/>
    <row r="169" s="16" customFormat="1" x14ac:dyDescent="0.3"/>
    <row r="170" s="16" customFormat="1" x14ac:dyDescent="0.3"/>
    <row r="171" s="16" customFormat="1" x14ac:dyDescent="0.3"/>
    <row r="172" s="16" customFormat="1" x14ac:dyDescent="0.3"/>
    <row r="173" s="16" customFormat="1" x14ac:dyDescent="0.3"/>
    <row r="174" s="16" customFormat="1" x14ac:dyDescent="0.3"/>
    <row r="175" s="16" customFormat="1" x14ac:dyDescent="0.3"/>
    <row r="176" s="16" customFormat="1" x14ac:dyDescent="0.3"/>
    <row r="177" s="16" customFormat="1" x14ac:dyDescent="0.3"/>
    <row r="178" s="16" customFormat="1" x14ac:dyDescent="0.3"/>
    <row r="179" s="16" customFormat="1" x14ac:dyDescent="0.3"/>
    <row r="180" s="16" customFormat="1" x14ac:dyDescent="0.3"/>
    <row r="181" s="16" customFormat="1" x14ac:dyDescent="0.3"/>
    <row r="182" s="16" customFormat="1" x14ac:dyDescent="0.3"/>
    <row r="183" s="16" customFormat="1" x14ac:dyDescent="0.3"/>
    <row r="184" s="16" customFormat="1" x14ac:dyDescent="0.3"/>
    <row r="185" s="16" customFormat="1" x14ac:dyDescent="0.3"/>
    <row r="186" s="16" customFormat="1" x14ac:dyDescent="0.3"/>
    <row r="187" s="16" customFormat="1" x14ac:dyDescent="0.3"/>
    <row r="188" s="16" customFormat="1" x14ac:dyDescent="0.3"/>
    <row r="189" s="16" customFormat="1" x14ac:dyDescent="0.3"/>
    <row r="190" s="16" customFormat="1" x14ac:dyDescent="0.3"/>
    <row r="191" s="16" customFormat="1" x14ac:dyDescent="0.3"/>
    <row r="192" s="16" customFormat="1" x14ac:dyDescent="0.3"/>
    <row r="193" s="16" customFormat="1" x14ac:dyDescent="0.3"/>
    <row r="194" s="16" customFormat="1" x14ac:dyDescent="0.3"/>
    <row r="195" s="16" customFormat="1" x14ac:dyDescent="0.3"/>
    <row r="196" s="16" customFormat="1" x14ac:dyDescent="0.3"/>
    <row r="197" s="16" customFormat="1" x14ac:dyDescent="0.3"/>
    <row r="198" s="16" customFormat="1" x14ac:dyDescent="0.3"/>
    <row r="199" s="16" customFormat="1" x14ac:dyDescent="0.3"/>
    <row r="200" s="16" customFormat="1" x14ac:dyDescent="0.3"/>
    <row r="201" s="16" customFormat="1" x14ac:dyDescent="0.3"/>
    <row r="202" s="16" customFormat="1" x14ac:dyDescent="0.3"/>
    <row r="203" s="16" customFormat="1" x14ac:dyDescent="0.3"/>
    <row r="204" s="16" customFormat="1" x14ac:dyDescent="0.3"/>
    <row r="205" s="16" customFormat="1" x14ac:dyDescent="0.3"/>
    <row r="206" s="16" customFormat="1" x14ac:dyDescent="0.3"/>
    <row r="207" s="16" customFormat="1" x14ac:dyDescent="0.3"/>
    <row r="208" s="16" customFormat="1" x14ac:dyDescent="0.3"/>
    <row r="209" s="16" customFormat="1" x14ac:dyDescent="0.3"/>
    <row r="210" s="16" customFormat="1" x14ac:dyDescent="0.3"/>
    <row r="211" s="16" customFormat="1" x14ac:dyDescent="0.3"/>
    <row r="212" s="16" customFormat="1" x14ac:dyDescent="0.3"/>
    <row r="213" s="16" customFormat="1" x14ac:dyDescent="0.3"/>
    <row r="214" s="16" customFormat="1" x14ac:dyDescent="0.3"/>
    <row r="215" s="16" customFormat="1" x14ac:dyDescent="0.3"/>
    <row r="216" s="16" customFormat="1" x14ac:dyDescent="0.3"/>
    <row r="217" s="16" customFormat="1" x14ac:dyDescent="0.3"/>
    <row r="218" s="16" customFormat="1" x14ac:dyDescent="0.3"/>
    <row r="219" s="16" customFormat="1" x14ac:dyDescent="0.3"/>
    <row r="220" s="16" customFormat="1" x14ac:dyDescent="0.3"/>
    <row r="221" s="16" customFormat="1" x14ac:dyDescent="0.3"/>
    <row r="222" s="16" customFormat="1" x14ac:dyDescent="0.3"/>
    <row r="223" s="16" customFormat="1" x14ac:dyDescent="0.3"/>
    <row r="224" s="16" customFormat="1" x14ac:dyDescent="0.3"/>
    <row r="225" s="16" customFormat="1" x14ac:dyDescent="0.3"/>
    <row r="226" s="16" customFormat="1" x14ac:dyDescent="0.3"/>
    <row r="227" s="16" customFormat="1" x14ac:dyDescent="0.3"/>
    <row r="228" s="16" customFormat="1" x14ac:dyDescent="0.3"/>
    <row r="229" s="16" customFormat="1" x14ac:dyDescent="0.3"/>
    <row r="230" s="16" customFormat="1" x14ac:dyDescent="0.3"/>
    <row r="231" s="16" customFormat="1" x14ac:dyDescent="0.3"/>
    <row r="232" s="16" customFormat="1" x14ac:dyDescent="0.3"/>
    <row r="233" s="16" customFormat="1" x14ac:dyDescent="0.3"/>
    <row r="234" s="16" customFormat="1" x14ac:dyDescent="0.3"/>
    <row r="235" s="16" customFormat="1" x14ac:dyDescent="0.3"/>
    <row r="236" s="16" customFormat="1" x14ac:dyDescent="0.3"/>
    <row r="237" s="16" customFormat="1" x14ac:dyDescent="0.3"/>
    <row r="238" s="16" customFormat="1" x14ac:dyDescent="0.3"/>
    <row r="239" s="16" customFormat="1" x14ac:dyDescent="0.3"/>
    <row r="240" s="16" customFormat="1" x14ac:dyDescent="0.3"/>
    <row r="241" s="16" customFormat="1" x14ac:dyDescent="0.3"/>
    <row r="242" s="16" customFormat="1" x14ac:dyDescent="0.3"/>
    <row r="243" s="16" customFormat="1" x14ac:dyDescent="0.3"/>
    <row r="244" s="16" customFormat="1" x14ac:dyDescent="0.3"/>
    <row r="245" s="16" customFormat="1" x14ac:dyDescent="0.3"/>
    <row r="246" s="16" customFormat="1" x14ac:dyDescent="0.3"/>
    <row r="247" s="16" customFormat="1" x14ac:dyDescent="0.3"/>
    <row r="248" s="16" customFormat="1" x14ac:dyDescent="0.3"/>
    <row r="249" s="16" customFormat="1" x14ac:dyDescent="0.3"/>
    <row r="250" s="16" customFormat="1" x14ac:dyDescent="0.3"/>
    <row r="251" s="16" customFormat="1" x14ac:dyDescent="0.3"/>
    <row r="252" s="16" customFormat="1" x14ac:dyDescent="0.3"/>
    <row r="253" s="16" customFormat="1" x14ac:dyDescent="0.3"/>
    <row r="254" s="16" customFormat="1" x14ac:dyDescent="0.3"/>
    <row r="255" s="16" customFormat="1" x14ac:dyDescent="0.3"/>
    <row r="256" s="16" customFormat="1" x14ac:dyDescent="0.3"/>
    <row r="257" s="16" customFormat="1" x14ac:dyDescent="0.3"/>
    <row r="258" s="16" customFormat="1" x14ac:dyDescent="0.3"/>
    <row r="259" s="16" customFormat="1" x14ac:dyDescent="0.3"/>
    <row r="260" s="16" customFormat="1" x14ac:dyDescent="0.3"/>
    <row r="261" s="16" customFormat="1" x14ac:dyDescent="0.3"/>
    <row r="262" s="16" customFormat="1" x14ac:dyDescent="0.3"/>
    <row r="263" s="16" customFormat="1" x14ac:dyDescent="0.3"/>
    <row r="264" s="16" customFormat="1" x14ac:dyDescent="0.3"/>
    <row r="265" s="16" customFormat="1" x14ac:dyDescent="0.3"/>
    <row r="266" s="16" customFormat="1" x14ac:dyDescent="0.3"/>
    <row r="267" s="16" customFormat="1" x14ac:dyDescent="0.3"/>
    <row r="268" s="16" customFormat="1" x14ac:dyDescent="0.3"/>
    <row r="269" s="16" customFormat="1" x14ac:dyDescent="0.3"/>
    <row r="270" s="16" customFormat="1" x14ac:dyDescent="0.3"/>
    <row r="271" s="16" customFormat="1" x14ac:dyDescent="0.3"/>
    <row r="272" s="16" customFormat="1" x14ac:dyDescent="0.3"/>
    <row r="273" s="16" customFormat="1" x14ac:dyDescent="0.3"/>
    <row r="274" s="16" customFormat="1" x14ac:dyDescent="0.3"/>
    <row r="275" s="16" customFormat="1" x14ac:dyDescent="0.3"/>
    <row r="276" s="16" customFormat="1" x14ac:dyDescent="0.3"/>
  </sheetData>
  <mergeCells count="32">
    <mergeCell ref="C29:F29"/>
    <mergeCell ref="B19:H19"/>
    <mergeCell ref="C22:F22"/>
    <mergeCell ref="C23:F23"/>
    <mergeCell ref="C24:F24"/>
    <mergeCell ref="C21:F21"/>
    <mergeCell ref="B15:H15"/>
    <mergeCell ref="B26:H26"/>
    <mergeCell ref="B27:I27"/>
    <mergeCell ref="B28:I28"/>
    <mergeCell ref="D11:E11"/>
    <mergeCell ref="F11:G11"/>
    <mergeCell ref="H11:I11"/>
    <mergeCell ref="C16:F16"/>
    <mergeCell ref="C20:F20"/>
    <mergeCell ref="C17:F17"/>
    <mergeCell ref="B30:I30"/>
    <mergeCell ref="C31:F31"/>
    <mergeCell ref="B4:I4"/>
    <mergeCell ref="B5:I5"/>
    <mergeCell ref="B6:I6"/>
    <mergeCell ref="B8:C8"/>
    <mergeCell ref="D8:G9"/>
    <mergeCell ref="H8:I9"/>
    <mergeCell ref="B12:C12"/>
    <mergeCell ref="D12:E12"/>
    <mergeCell ref="F12:G12"/>
    <mergeCell ref="H12:I12"/>
    <mergeCell ref="C14:F14"/>
    <mergeCell ref="D10:G10"/>
    <mergeCell ref="H10:I10"/>
    <mergeCell ref="B11:C11"/>
  </mergeCells>
  <pageMargins left="0.29527559055118113" right="0.59055118110236227" top="0.19685039370078741" bottom="0.19685039370078741" header="0" footer="0"/>
  <pageSetup paperSize="11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3</xdr:col>
                    <xdr:colOff>7620</xdr:colOff>
                    <xdr:row>1</xdr:row>
                    <xdr:rowOff>0</xdr:rowOff>
                  </from>
                  <to>
                    <xdr:col>3</xdr:col>
                    <xdr:colOff>259080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9</xdr:col>
                    <xdr:colOff>213360</xdr:colOff>
                    <xdr:row>27</xdr:row>
                    <xdr:rowOff>76200</xdr:rowOff>
                  </from>
                  <to>
                    <xdr:col>11</xdr:col>
                    <xdr:colOff>83820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9:A23"/>
  <sheetViews>
    <sheetView topLeftCell="A10" workbookViewId="0">
      <selection activeCell="C15" sqref="C15"/>
    </sheetView>
  </sheetViews>
  <sheetFormatPr baseColWidth="10" defaultRowHeight="14.4" x14ac:dyDescent="0.3"/>
  <sheetData>
    <row r="19" spans="1:1" x14ac:dyDescent="0.3">
      <c r="A19">
        <v>2016</v>
      </c>
    </row>
    <row r="20" spans="1:1" x14ac:dyDescent="0.3">
      <c r="A20">
        <v>2017</v>
      </c>
    </row>
    <row r="21" spans="1:1" x14ac:dyDescent="0.3">
      <c r="A21">
        <v>2018</v>
      </c>
    </row>
    <row r="22" spans="1:1" x14ac:dyDescent="0.3">
      <c r="A22">
        <v>2019</v>
      </c>
    </row>
    <row r="23" spans="1:1" x14ac:dyDescent="0.3">
      <c r="A23">
        <v>2020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BD-DOCENTES</vt:lpstr>
      <vt:lpstr>BDPLANILLA</vt:lpstr>
      <vt:lpstr>PLANILLA</vt:lpstr>
      <vt:lpstr>BOLETA DE PAGO</vt:lpstr>
      <vt:lpstr>Hoja1</vt:lpstr>
      <vt:lpstr>'BOLETA DE PAGO'!Área_de_impresión</vt:lpstr>
      <vt:lpstr>PLANILLA!Área_de_impresión</vt:lpstr>
      <vt:lpstr>BDPLANILLA</vt:lpstr>
      <vt:lpstr>DOCENTES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JOHNY JUAN GALVEZ ROJAS</cp:lastModifiedBy>
  <cp:lastPrinted>2016-04-21T16:55:06Z</cp:lastPrinted>
  <dcterms:created xsi:type="dcterms:W3CDTF">2013-10-01T03:28:17Z</dcterms:created>
  <dcterms:modified xsi:type="dcterms:W3CDTF">2024-11-25T13:59:16Z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